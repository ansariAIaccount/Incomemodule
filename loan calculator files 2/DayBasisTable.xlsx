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75" windowWidth="20895" windowHeight="8895"/>
  </bookViews>
  <sheets>
    <sheet name="4DayBasis" sheetId="1" r:id="rId1"/>
  </sheets>
  <externalReferences>
    <externalReference r:id="rId2"/>
    <externalReference r:id="rId3"/>
    <externalReference r:id="rId4"/>
  </externalReferences>
  <definedNames>
    <definedName name="_buy3">#REF!</definedName>
    <definedName name="cashexp">#REF!</definedName>
    <definedName name="cashint3">#REF!</definedName>
    <definedName name="Compare">#REF!</definedName>
    <definedName name="Comparison">#REF!</definedName>
    <definedName name="constantine3">#REF!</definedName>
    <definedName name="date">[3]WLR!$C$3</definedName>
    <definedName name="dist">#REF!</definedName>
    <definedName name="draw">#REF!</definedName>
    <definedName name="exp">#REF!</definedName>
    <definedName name="_exp3">#REF!</definedName>
    <definedName name="Hynix">[3]WLR!$P$46</definedName>
    <definedName name="hynix07">[3]WLR!$P$48</definedName>
    <definedName name="_int1">#REF!</definedName>
    <definedName name="_int2">#REF!</definedName>
    <definedName name="intrec3">#REF!</definedName>
    <definedName name="invadd">#REF!</definedName>
    <definedName name="Investment_Schedule">#REF!</definedName>
    <definedName name="invmv">#REF!</definedName>
    <definedName name="invmv3">#REF!</definedName>
    <definedName name="KSHedge">[3]WLR!$P$13</definedName>
    <definedName name="plprice">[3]WLR!$P$9</definedName>
    <definedName name="pwoodar">#REF!</definedName>
    <definedName name="receiv">#REF!</definedName>
    <definedName name="settle">[3]WLR!$C$4</definedName>
    <definedName name="sold">#REF!</definedName>
    <definedName name="sold3">#REF!</definedName>
    <definedName name="totcap">#REF!</definedName>
    <definedName name="totcap3">#REF!</definedName>
    <definedName name="Won">[3]WLR!$E$79</definedName>
    <definedName name="YEN">[3]WLR!$E$80</definedName>
  </definedNames>
  <calcPr calcId="125725"/>
</workbook>
</file>

<file path=xl/calcChain.xml><?xml version="1.0" encoding="utf-8"?>
<calcChain xmlns="http://schemas.openxmlformats.org/spreadsheetml/2006/main">
  <c r="Q54" i="1"/>
  <c r="R54" s="1"/>
  <c r="L54"/>
  <c r="M54" s="1"/>
  <c r="N54" s="1"/>
  <c r="K54"/>
  <c r="H54"/>
  <c r="I54" s="1"/>
  <c r="J54" s="1"/>
  <c r="G54"/>
  <c r="D54"/>
  <c r="C54"/>
  <c r="E54" s="1"/>
  <c r="F54" s="1"/>
  <c r="Q53"/>
  <c r="R53" s="1"/>
  <c r="L53"/>
  <c r="K53"/>
  <c r="M53" s="1"/>
  <c r="N53" s="1"/>
  <c r="H53"/>
  <c r="G53"/>
  <c r="I53" s="1"/>
  <c r="J53" s="1"/>
  <c r="D53"/>
  <c r="E53" s="1"/>
  <c r="F53" s="1"/>
  <c r="C53"/>
  <c r="Q52"/>
  <c r="R52" s="1"/>
  <c r="L52"/>
  <c r="K52"/>
  <c r="M52" s="1"/>
  <c r="N52" s="1"/>
  <c r="H52"/>
  <c r="G52"/>
  <c r="I52" s="1"/>
  <c r="J52" s="1"/>
  <c r="D52"/>
  <c r="C52"/>
  <c r="E52" s="1"/>
  <c r="F52" s="1"/>
  <c r="Q51"/>
  <c r="R51" s="1"/>
  <c r="L51"/>
  <c r="K51"/>
  <c r="M51" s="1"/>
  <c r="N51" s="1"/>
  <c r="H51"/>
  <c r="G51"/>
  <c r="I51" s="1"/>
  <c r="J51" s="1"/>
  <c r="D51"/>
  <c r="C51"/>
  <c r="E51" s="1"/>
  <c r="F51" s="1"/>
  <c r="Q50"/>
  <c r="R50" s="1"/>
  <c r="L50"/>
  <c r="K50"/>
  <c r="M50" s="1"/>
  <c r="N50" s="1"/>
  <c r="H50"/>
  <c r="G50"/>
  <c r="I50" s="1"/>
  <c r="J50" s="1"/>
  <c r="D50"/>
  <c r="C50"/>
  <c r="E50" s="1"/>
  <c r="F50" s="1"/>
  <c r="Q49"/>
  <c r="R49" s="1"/>
  <c r="L49"/>
  <c r="K49"/>
  <c r="M49" s="1"/>
  <c r="N49" s="1"/>
  <c r="H49"/>
  <c r="G49"/>
  <c r="I49" s="1"/>
  <c r="J49" s="1"/>
  <c r="D49"/>
  <c r="C49"/>
  <c r="E49" s="1"/>
  <c r="F49" s="1"/>
  <c r="Q48"/>
  <c r="R48" s="1"/>
  <c r="L48"/>
  <c r="K48"/>
  <c r="M48" s="1"/>
  <c r="N48" s="1"/>
  <c r="H48"/>
  <c r="G48"/>
  <c r="I48" s="1"/>
  <c r="J48" s="1"/>
  <c r="D48"/>
  <c r="C48"/>
  <c r="E48" s="1"/>
  <c r="F48" s="1"/>
  <c r="Q47"/>
  <c r="R47" s="1"/>
  <c r="L47"/>
  <c r="K47"/>
  <c r="M47" s="1"/>
  <c r="N47" s="1"/>
  <c r="H47"/>
  <c r="G47"/>
  <c r="I47" s="1"/>
  <c r="J47" s="1"/>
  <c r="D47"/>
  <c r="C47"/>
  <c r="E47" s="1"/>
  <c r="F47" s="1"/>
  <c r="Q46"/>
  <c r="R46" s="1"/>
  <c r="L46"/>
  <c r="K46"/>
  <c r="M46" s="1"/>
  <c r="N46" s="1"/>
  <c r="H46"/>
  <c r="G46"/>
  <c r="I46" s="1"/>
  <c r="J46" s="1"/>
  <c r="D46"/>
  <c r="C46"/>
  <c r="E46" s="1"/>
  <c r="F46" s="1"/>
  <c r="Q45"/>
  <c r="R45" s="1"/>
  <c r="L45"/>
  <c r="K45"/>
  <c r="M45" s="1"/>
  <c r="N45" s="1"/>
  <c r="H45"/>
  <c r="G45"/>
  <c r="I45" s="1"/>
  <c r="J45" s="1"/>
  <c r="D45"/>
  <c r="C45"/>
  <c r="E45" s="1"/>
  <c r="F45" s="1"/>
  <c r="Q44"/>
  <c r="R44" s="1"/>
  <c r="L44"/>
  <c r="K44"/>
  <c r="M44" s="1"/>
  <c r="N44" s="1"/>
  <c r="H44"/>
  <c r="G44"/>
  <c r="I44" s="1"/>
  <c r="J44" s="1"/>
  <c r="D44"/>
  <c r="C44"/>
  <c r="E44" s="1"/>
  <c r="F44" s="1"/>
  <c r="Q43"/>
  <c r="R43" s="1"/>
  <c r="L43"/>
  <c r="K43"/>
  <c r="M43" s="1"/>
  <c r="N43" s="1"/>
  <c r="H43"/>
  <c r="G43"/>
  <c r="I43" s="1"/>
  <c r="J43" s="1"/>
  <c r="D43"/>
  <c r="C43"/>
  <c r="E43" s="1"/>
  <c r="F43" s="1"/>
  <c r="Q42"/>
  <c r="R42" s="1"/>
  <c r="L42"/>
  <c r="K42"/>
  <c r="M42" s="1"/>
  <c r="N42" s="1"/>
  <c r="H42"/>
  <c r="G42"/>
  <c r="I42" s="1"/>
  <c r="J42" s="1"/>
  <c r="D42"/>
  <c r="C42"/>
  <c r="E42" s="1"/>
  <c r="F42" s="1"/>
  <c r="Q41"/>
  <c r="R41" s="1"/>
  <c r="L41"/>
  <c r="K41"/>
  <c r="M41" s="1"/>
  <c r="N41" s="1"/>
  <c r="H41"/>
  <c r="G41"/>
  <c r="I41" s="1"/>
  <c r="J41" s="1"/>
  <c r="D41"/>
  <c r="C41"/>
  <c r="E41" s="1"/>
  <c r="F41" s="1"/>
  <c r="Q40"/>
  <c r="R40" s="1"/>
  <c r="L40"/>
  <c r="K40"/>
  <c r="M40" s="1"/>
  <c r="N40" s="1"/>
  <c r="H40"/>
  <c r="G40"/>
  <c r="I40" s="1"/>
  <c r="J40" s="1"/>
  <c r="D40"/>
  <c r="C40"/>
  <c r="E40" s="1"/>
  <c r="F40" s="1"/>
  <c r="Q39"/>
  <c r="R39" s="1"/>
  <c r="L39"/>
  <c r="K39"/>
  <c r="M39" s="1"/>
  <c r="N39" s="1"/>
  <c r="H39"/>
  <c r="G39"/>
  <c r="I39" s="1"/>
  <c r="J39" s="1"/>
  <c r="D39"/>
  <c r="C39"/>
  <c r="E39" s="1"/>
  <c r="F39" s="1"/>
  <c r="Q38"/>
  <c r="R38" s="1"/>
  <c r="L38"/>
  <c r="K38"/>
  <c r="M38" s="1"/>
  <c r="N38" s="1"/>
  <c r="H38"/>
  <c r="G38"/>
  <c r="I38" s="1"/>
  <c r="J38" s="1"/>
  <c r="D38"/>
  <c r="C38"/>
  <c r="E38" s="1"/>
  <c r="F38" s="1"/>
  <c r="Q37"/>
  <c r="R37" s="1"/>
  <c r="L37"/>
  <c r="K37"/>
  <c r="M37" s="1"/>
  <c r="N37" s="1"/>
  <c r="H37"/>
  <c r="G37"/>
  <c r="I37" s="1"/>
  <c r="J37" s="1"/>
  <c r="D37"/>
  <c r="C37"/>
  <c r="E37" s="1"/>
  <c r="F37" s="1"/>
  <c r="Q36"/>
  <c r="R36" s="1"/>
  <c r="L36"/>
  <c r="K36"/>
  <c r="M36" s="1"/>
  <c r="N36" s="1"/>
  <c r="H36"/>
  <c r="G36"/>
  <c r="I36" s="1"/>
  <c r="J36" s="1"/>
  <c r="D36"/>
  <c r="C36"/>
  <c r="E36" s="1"/>
  <c r="F36" s="1"/>
  <c r="Q35"/>
  <c r="R35" s="1"/>
  <c r="L35"/>
  <c r="K35"/>
  <c r="M35" s="1"/>
  <c r="N35" s="1"/>
  <c r="H35"/>
  <c r="G35"/>
  <c r="I35" s="1"/>
  <c r="J35" s="1"/>
  <c r="D35"/>
  <c r="C35"/>
  <c r="E35" s="1"/>
  <c r="F35" s="1"/>
  <c r="Q34"/>
  <c r="R34" s="1"/>
  <c r="L34"/>
  <c r="K34"/>
  <c r="M34" s="1"/>
  <c r="N34" s="1"/>
  <c r="H34"/>
  <c r="G34"/>
  <c r="I34" s="1"/>
  <c r="J34" s="1"/>
  <c r="D34"/>
  <c r="C34"/>
  <c r="E34" s="1"/>
  <c r="F34" s="1"/>
  <c r="Q33"/>
  <c r="R33" s="1"/>
  <c r="L33"/>
  <c r="K33"/>
  <c r="M33" s="1"/>
  <c r="N33" s="1"/>
  <c r="H33"/>
  <c r="G33"/>
  <c r="I33" s="1"/>
  <c r="J33" s="1"/>
  <c r="D33"/>
  <c r="C33"/>
  <c r="E33" s="1"/>
  <c r="F33" s="1"/>
  <c r="Q32"/>
  <c r="R32" s="1"/>
  <c r="L32"/>
  <c r="K32"/>
  <c r="M32" s="1"/>
  <c r="N32" s="1"/>
  <c r="H32"/>
  <c r="G32"/>
  <c r="I32" s="1"/>
  <c r="J32" s="1"/>
  <c r="D32"/>
  <c r="C32"/>
  <c r="E32" s="1"/>
  <c r="F32" s="1"/>
  <c r="Q31"/>
  <c r="R31" s="1"/>
  <c r="L31"/>
  <c r="K31"/>
  <c r="M31" s="1"/>
  <c r="N31" s="1"/>
  <c r="H31"/>
  <c r="G31"/>
  <c r="I31" s="1"/>
  <c r="J31" s="1"/>
  <c r="D31"/>
  <c r="C31"/>
  <c r="E31" s="1"/>
  <c r="F31" s="1"/>
  <c r="Q30"/>
  <c r="R30" s="1"/>
  <c r="L30"/>
  <c r="K30"/>
  <c r="M30" s="1"/>
  <c r="N30" s="1"/>
  <c r="H30"/>
  <c r="G30"/>
  <c r="I30" s="1"/>
  <c r="J30" s="1"/>
  <c r="D30"/>
  <c r="C30"/>
  <c r="E30" s="1"/>
  <c r="F30" s="1"/>
  <c r="Q29"/>
  <c r="R29" s="1"/>
  <c r="L29"/>
  <c r="K29"/>
  <c r="M29" s="1"/>
  <c r="N29" s="1"/>
  <c r="H29"/>
  <c r="G29"/>
  <c r="I29" s="1"/>
  <c r="J29" s="1"/>
  <c r="D29"/>
  <c r="C29"/>
  <c r="E29" s="1"/>
  <c r="F29" s="1"/>
  <c r="Q28"/>
  <c r="R28" s="1"/>
  <c r="L28"/>
  <c r="K28"/>
  <c r="M28" s="1"/>
  <c r="N28" s="1"/>
  <c r="H28"/>
  <c r="G28"/>
  <c r="I28" s="1"/>
  <c r="J28" s="1"/>
  <c r="D28"/>
  <c r="C28"/>
  <c r="E28" s="1"/>
  <c r="F28" s="1"/>
  <c r="Q27"/>
  <c r="R27" s="1"/>
  <c r="L27"/>
  <c r="K27"/>
  <c r="M27" s="1"/>
  <c r="N27" s="1"/>
  <c r="H27"/>
  <c r="G27"/>
  <c r="I27" s="1"/>
  <c r="J27" s="1"/>
  <c r="D27"/>
  <c r="C27"/>
  <c r="E27" s="1"/>
  <c r="F27" s="1"/>
  <c r="Q26"/>
  <c r="R26" s="1"/>
  <c r="L26"/>
  <c r="K26"/>
  <c r="M26" s="1"/>
  <c r="N26" s="1"/>
  <c r="H26"/>
  <c r="G26"/>
  <c r="I26" s="1"/>
  <c r="J26" s="1"/>
  <c r="D26"/>
  <c r="C26"/>
  <c r="E26" s="1"/>
  <c r="F26" s="1"/>
  <c r="Q25"/>
  <c r="R25" s="1"/>
  <c r="L25"/>
  <c r="K25"/>
  <c r="M25" s="1"/>
  <c r="N25" s="1"/>
  <c r="H25"/>
  <c r="G25"/>
  <c r="I25" s="1"/>
  <c r="J25" s="1"/>
  <c r="D25"/>
  <c r="C25"/>
  <c r="E25" s="1"/>
  <c r="F25" s="1"/>
  <c r="Q24"/>
  <c r="R24" s="1"/>
  <c r="L24"/>
  <c r="K24"/>
  <c r="M24" s="1"/>
  <c r="N24" s="1"/>
  <c r="H24"/>
  <c r="G24"/>
  <c r="I24" s="1"/>
  <c r="J24" s="1"/>
  <c r="D24"/>
  <c r="C24"/>
  <c r="E24" s="1"/>
  <c r="F24" s="1"/>
  <c r="Q23"/>
  <c r="R23" s="1"/>
  <c r="L23"/>
  <c r="K23"/>
  <c r="M23" s="1"/>
  <c r="N23" s="1"/>
  <c r="H23"/>
  <c r="G23"/>
  <c r="I23" s="1"/>
  <c r="J23" s="1"/>
  <c r="D23"/>
  <c r="C23"/>
  <c r="E23" s="1"/>
  <c r="F23" s="1"/>
  <c r="Q22"/>
  <c r="R22" s="1"/>
  <c r="L22"/>
  <c r="K22"/>
  <c r="M22" s="1"/>
  <c r="N22" s="1"/>
  <c r="H22"/>
  <c r="G22"/>
  <c r="I22" s="1"/>
  <c r="J22" s="1"/>
  <c r="D22"/>
  <c r="C22"/>
  <c r="E22" s="1"/>
  <c r="F22" s="1"/>
  <c r="Q21"/>
  <c r="R21" s="1"/>
  <c r="L21"/>
  <c r="K21"/>
  <c r="M21" s="1"/>
  <c r="N21" s="1"/>
  <c r="H21"/>
  <c r="G21"/>
  <c r="I21" s="1"/>
  <c r="J21" s="1"/>
  <c r="D21"/>
  <c r="C21"/>
  <c r="E21" s="1"/>
  <c r="F21" s="1"/>
  <c r="Q20"/>
  <c r="R20" s="1"/>
  <c r="L20"/>
  <c r="K20"/>
  <c r="M20" s="1"/>
  <c r="N20" s="1"/>
  <c r="H20"/>
  <c r="G20"/>
  <c r="I20" s="1"/>
  <c r="J20" s="1"/>
  <c r="D20"/>
  <c r="C20"/>
  <c r="E20" s="1"/>
  <c r="F20" s="1"/>
  <c r="Q19"/>
  <c r="R19" s="1"/>
  <c r="L19"/>
  <c r="K19"/>
  <c r="M19" s="1"/>
  <c r="N19" s="1"/>
  <c r="H19"/>
  <c r="G19"/>
  <c r="I19" s="1"/>
  <c r="J19" s="1"/>
  <c r="D19"/>
  <c r="C19"/>
  <c r="E19" s="1"/>
  <c r="F19" s="1"/>
  <c r="Q18"/>
  <c r="R18" s="1"/>
  <c r="L18"/>
  <c r="K18"/>
  <c r="M18" s="1"/>
  <c r="N18" s="1"/>
  <c r="H18"/>
  <c r="G18"/>
  <c r="I18" s="1"/>
  <c r="J18" s="1"/>
  <c r="D18"/>
  <c r="C18"/>
  <c r="E18" s="1"/>
  <c r="F18" s="1"/>
</calcChain>
</file>

<file path=xl/comments1.xml><?xml version="1.0" encoding="utf-8"?>
<comments xmlns="http://schemas.openxmlformats.org/spreadsheetml/2006/main">
  <authors>
    <author>Scott Allen</author>
    <author xml:space="preserve"> </author>
  </authors>
  <commentList>
    <comment ref="B17" authorId="0">
      <text>
        <r>
          <rPr>
            <b/>
            <sz val="8"/>
            <color indexed="81"/>
            <rFont val="Tahoma"/>
            <family val="2"/>
          </rPr>
          <t>Scott Allen:</t>
        </r>
        <r>
          <rPr>
            <sz val="8"/>
            <color indexed="81"/>
            <rFont val="Tahoma"/>
            <family val="2"/>
          </rPr>
          <t xml:space="preserve">
This is the End Date from AT Log File.  Note in PayDate mode this may be 1 day less than PayDate (paydate does not count as Interest Day)</t>
        </r>
      </text>
    </comment>
    <comment ref="D18" authorId="1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UPDATED FORMULA TO NO LONGER REFERNCE TERMINATION DATE</t>
        </r>
      </text>
    </comment>
    <comment ref="I25" authorId="0">
      <text>
        <r>
          <rPr>
            <b/>
            <sz val="8"/>
            <color indexed="81"/>
            <rFont val="Tahoma"/>
            <family val="2"/>
          </rPr>
          <t>Scott Allen:</t>
        </r>
        <r>
          <rPr>
            <sz val="8"/>
            <color indexed="81"/>
            <rFont val="Tahoma"/>
            <family val="2"/>
          </rPr>
          <t xml:space="preserve">
AT Incorrectly calculates 31 days.  30E/360 this should be 29.  Day count will differ when Feb is involved.</t>
        </r>
      </text>
    </comment>
    <comment ref="E40" authorId="0">
      <text>
        <r>
          <rPr>
            <b/>
            <sz val="8"/>
            <color indexed="81"/>
            <rFont val="Tahoma"/>
            <family val="2"/>
          </rPr>
          <t>Scott Allen:</t>
        </r>
        <r>
          <rPr>
            <sz val="8"/>
            <color indexed="81"/>
            <rFont val="Tahoma"/>
            <family val="2"/>
          </rPr>
          <t xml:space="preserve">
AT incorrectly calculates 90 days and .25 with these start and end dates?</t>
        </r>
      </text>
    </comment>
    <comment ref="I40" authorId="0">
      <text>
        <r>
          <rPr>
            <b/>
            <sz val="8"/>
            <color indexed="81"/>
            <rFont val="Tahoma"/>
            <family val="2"/>
          </rPr>
          <t>Scott Allen:</t>
        </r>
        <r>
          <rPr>
            <sz val="8"/>
            <color indexed="81"/>
            <rFont val="Tahoma"/>
            <family val="2"/>
          </rPr>
          <t xml:space="preserve">
AT incorrectly counts 90 days and .25</t>
        </r>
      </text>
    </comment>
    <comment ref="E51" authorId="0">
      <text>
        <r>
          <rPr>
            <b/>
            <sz val="8"/>
            <color indexed="81"/>
            <rFont val="Tahoma"/>
            <family val="2"/>
          </rPr>
          <t>Scott Allen:</t>
        </r>
        <r>
          <rPr>
            <sz val="8"/>
            <color indexed="81"/>
            <rFont val="Tahoma"/>
            <family val="2"/>
          </rPr>
          <t xml:space="preserve">
AT incorrectly calculates 90 days and .25 with these start and end dates?</t>
        </r>
      </text>
    </comment>
    <comment ref="I51" authorId="0">
      <text>
        <r>
          <rPr>
            <b/>
            <sz val="8"/>
            <color indexed="81"/>
            <rFont val="Tahoma"/>
            <family val="2"/>
          </rPr>
          <t>Scott Allen:</t>
        </r>
        <r>
          <rPr>
            <sz val="8"/>
            <color indexed="81"/>
            <rFont val="Tahoma"/>
            <family val="2"/>
          </rPr>
          <t xml:space="preserve">
AT incorrectly counts 90 days and .25</t>
        </r>
      </text>
    </comment>
  </commentList>
</comments>
</file>

<file path=xl/sharedStrings.xml><?xml version="1.0" encoding="utf-8"?>
<sst xmlns="http://schemas.openxmlformats.org/spreadsheetml/2006/main" count="112" uniqueCount="26">
  <si>
    <t>Lubert, AlpInvest, Australia, Internal</t>
  </si>
  <si>
    <t>Multiple Day Basis can be selected for an income security.  Update or add day basis logic based on table below</t>
  </si>
  <si>
    <t>Update 30/360 Day Basis Calc.  AT calculation is not matching model below: 08/30/2010 end date should have same result as 08/31/2010 end date.</t>
  </si>
  <si>
    <t xml:space="preserve">Update Logic for 30E/360 Day basis per the table below.  Only Difference between 30/360 is treatment of Feb </t>
  </si>
  <si>
    <t>Create new Day Basis Value for dropdown (created via hotfix): 30/365</t>
  </si>
  <si>
    <t>Create new Day Basis Value for dropdown (created via hotfix): 365/12/360</t>
  </si>
  <si>
    <t>Deal: Mezz Debt</t>
  </si>
  <si>
    <t>Test Deal: Mezz Debt</t>
  </si>
  <si>
    <t>Test Position: Dinamo Oil Corp</t>
  </si>
  <si>
    <t>Day Basis Table</t>
  </si>
  <si>
    <t>UPDATE Calculation</t>
  </si>
  <si>
    <t>NEW DAY BASIS</t>
  </si>
  <si>
    <t>Calculation Period</t>
  </si>
  <si>
    <t xml:space="preserve">Investran 30/360 </t>
  </si>
  <si>
    <t>Investran 30E/360</t>
  </si>
  <si>
    <t>30/365 (Aus)</t>
  </si>
  <si>
    <t>365/12/360 - Equal Monthly</t>
  </si>
  <si>
    <t>Start Date</t>
  </si>
  <si>
    <t>End Date</t>
  </si>
  <si>
    <t>D1</t>
  </si>
  <si>
    <t xml:space="preserve">D2 </t>
  </si>
  <si>
    <t>Day count</t>
  </si>
  <si>
    <t>#Days/Day Basis</t>
  </si>
  <si>
    <t>#Days/DayBasis</t>
  </si>
  <si>
    <t>n/a</t>
  </si>
  <si>
    <t>Termination Date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</si>
</sst>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mm/dd/yy;@"/>
    <numFmt numFmtId="165" formatCode="0.00000"/>
    <numFmt numFmtId="166" formatCode="_-* #,##0.00_-;\-* #,##0.00_-;_-* &quot;-&quot;??_-;_-@_-"/>
    <numFmt numFmtId="167" formatCode="#,##0\ \ \ ;[Red]\(#,##0\)\ \ ;\—\ \ \ \ "/>
  </numFmts>
  <fonts count="8">
    <font>
      <sz val="10"/>
      <name val="Arial"/>
      <family val="2"/>
    </font>
    <font>
      <sz val="10"/>
      <name val="Arial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7" fontId="7" fillId="0" borderId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 applyBorder="1"/>
    <xf numFmtId="0" fontId="2" fillId="0" borderId="0" xfId="0" applyNumberFormat="1" applyFont="1" applyFill="1" applyBorder="1" applyAlignment="1" applyProtection="1">
      <alignment horizontal="left" vertical="center"/>
    </xf>
    <xf numFmtId="0" fontId="0" fillId="0" borderId="0" xfId="0" applyBorder="1"/>
    <xf numFmtId="0" fontId="3" fillId="0" borderId="0" xfId="0" applyFont="1" applyBorder="1"/>
    <xf numFmtId="0" fontId="4" fillId="0" borderId="1" xfId="0" applyFont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3" fontId="2" fillId="0" borderId="5" xfId="0" applyNumberFormat="1" applyFont="1" applyFill="1" applyBorder="1" applyAlignment="1" applyProtection="1">
      <alignment horizontal="center" vertical="center" wrapText="1"/>
    </xf>
    <xf numFmtId="3" fontId="2" fillId="0" borderId="6" xfId="0" applyNumberFormat="1" applyFont="1" applyFill="1" applyBorder="1" applyAlignment="1" applyProtection="1">
      <alignment horizontal="center" vertical="center" wrapText="1"/>
    </xf>
    <xf numFmtId="0" fontId="2" fillId="0" borderId="2" xfId="0" applyFont="1" applyFill="1" applyBorder="1" applyAlignment="1" applyProtection="1">
      <alignment horizontal="center"/>
    </xf>
    <xf numFmtId="0" fontId="2" fillId="0" borderId="3" xfId="0" applyFont="1" applyFill="1" applyBorder="1" applyAlignment="1" applyProtection="1">
      <alignment horizontal="center"/>
    </xf>
    <xf numFmtId="0" fontId="2" fillId="0" borderId="4" xfId="0" applyFont="1" applyFill="1" applyBorder="1" applyAlignment="1" applyProtection="1">
      <alignment horizontal="center"/>
    </xf>
    <xf numFmtId="0" fontId="2" fillId="0" borderId="7" xfId="0" applyFont="1" applyFill="1" applyBorder="1" applyAlignment="1" applyProtection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64" fontId="3" fillId="0" borderId="10" xfId="0" applyNumberFormat="1" applyFont="1" applyFill="1" applyBorder="1" applyAlignment="1" applyProtection="1">
      <alignment horizontal="center" vertical="center" wrapText="1"/>
    </xf>
    <xf numFmtId="164" fontId="3" fillId="0" borderId="8" xfId="0" applyNumberFormat="1" applyFont="1" applyFill="1" applyBorder="1" applyAlignment="1" applyProtection="1">
      <alignment horizontal="center" vertical="center" wrapText="1"/>
    </xf>
    <xf numFmtId="0" fontId="3" fillId="0" borderId="11" xfId="0" applyFont="1" applyFill="1" applyBorder="1" applyAlignment="1" applyProtection="1">
      <alignment horizontal="center" vertical="center" wrapText="1"/>
    </xf>
    <xf numFmtId="0" fontId="3" fillId="0" borderId="10" xfId="0" applyFont="1" applyFill="1" applyBorder="1" applyAlignment="1" applyProtection="1">
      <alignment horizontal="center" vertical="center" wrapText="1"/>
    </xf>
    <xf numFmtId="0" fontId="3" fillId="0" borderId="12" xfId="0" applyFont="1" applyFill="1" applyBorder="1" applyAlignment="1" applyProtection="1">
      <alignment horizontal="center" vertical="center" wrapText="1"/>
    </xf>
    <xf numFmtId="164" fontId="3" fillId="3" borderId="0" xfId="0" applyNumberFormat="1" applyFont="1" applyFill="1" applyBorder="1" applyAlignment="1" applyProtection="1">
      <alignment horizontal="center"/>
      <protection locked="0"/>
    </xf>
    <xf numFmtId="0" fontId="3" fillId="0" borderId="13" xfId="0" applyFont="1" applyFill="1" applyBorder="1" applyAlignment="1" applyProtection="1">
      <alignment horizontal="center" vertical="center" wrapText="1"/>
    </xf>
    <xf numFmtId="0" fontId="3" fillId="0" borderId="0" xfId="0" applyFont="1" applyFill="1" applyBorder="1" applyAlignment="1" applyProtection="1">
      <alignment horizontal="center" vertical="center" wrapText="1"/>
    </xf>
    <xf numFmtId="165" fontId="3" fillId="0" borderId="14" xfId="0" applyNumberFormat="1" applyFont="1" applyFill="1" applyBorder="1" applyAlignment="1" applyProtection="1">
      <alignment horizontal="center" vertical="center" wrapText="1"/>
    </xf>
    <xf numFmtId="0" fontId="3" fillId="0" borderId="0" xfId="0" applyFont="1" applyFill="1" applyBorder="1" applyAlignment="1" applyProtection="1">
      <alignment horizontal="center"/>
    </xf>
    <xf numFmtId="0" fontId="3" fillId="0" borderId="13" xfId="0" applyFont="1" applyBorder="1"/>
    <xf numFmtId="0" fontId="2" fillId="0" borderId="0" xfId="0" applyFont="1" applyFill="1" applyBorder="1" applyAlignment="1" applyProtection="1">
      <alignment horizontal="center" vertical="center" wrapText="1"/>
    </xf>
    <xf numFmtId="0" fontId="3" fillId="0" borderId="15" xfId="0" applyFont="1" applyFill="1" applyBorder="1" applyAlignment="1" applyProtection="1">
      <alignment horizontal="center" vertical="center" wrapText="1"/>
    </xf>
    <xf numFmtId="0" fontId="3" fillId="0" borderId="1" xfId="0" applyFont="1" applyFill="1" applyBorder="1" applyAlignment="1" applyProtection="1">
      <alignment horizontal="center" vertical="center" wrapText="1"/>
    </xf>
    <xf numFmtId="165" fontId="3" fillId="0" borderId="16" xfId="0" applyNumberFormat="1" applyFont="1" applyFill="1" applyBorder="1" applyAlignment="1" applyProtection="1">
      <alignment horizontal="center" vertical="center" wrapText="1"/>
    </xf>
    <xf numFmtId="0" fontId="3" fillId="0" borderId="1" xfId="0" applyFont="1" applyFill="1" applyBorder="1" applyAlignment="1" applyProtection="1">
      <alignment horizontal="center"/>
    </xf>
    <xf numFmtId="0" fontId="0" fillId="0" borderId="15" xfId="0" applyBorder="1"/>
    <xf numFmtId="0" fontId="0" fillId="0" borderId="1" xfId="0" applyBorder="1"/>
    <xf numFmtId="0" fontId="0" fillId="0" borderId="16" xfId="0" applyBorder="1"/>
    <xf numFmtId="14" fontId="4" fillId="0" borderId="0" xfId="0" applyNumberFormat="1" applyFont="1"/>
    <xf numFmtId="0" fontId="1" fillId="0" borderId="0" xfId="0" applyFont="1"/>
  </cellXfs>
  <cellStyles count="5">
    <cellStyle name="Comma 2" xfId="1"/>
    <cellStyle name="Normal" xfId="0" builtinId="0"/>
    <cellStyle name="Normal 2" xfId="2"/>
    <cellStyle name="Number" xfId="3"/>
    <cellStyle name="Percent 2" xfId="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\dfsroot\koltua\Return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Interest%20AT%20v2%202010042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P/2001/WLRASIA_Pos6300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inv NET ret 12.31.06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roject"/>
      <sheetName val="Req's"/>
      <sheetName val="WLRoss Changes"/>
      <sheetName val="Sheet1"/>
      <sheetName val="1AlpInvest"/>
      <sheetName val="2AlpInvest"/>
      <sheetName val="3AlpInvest"/>
      <sheetName val="4DayBasis"/>
      <sheetName val="5ResetRateDays"/>
      <sheetName val="6MultiLots"/>
      <sheetName val="7PaydownLots"/>
      <sheetName val="8RWReport"/>
      <sheetName val="9UDFScripting"/>
      <sheetName val="10DailyIndexFreq"/>
      <sheetName val="11PaydownNewParam"/>
      <sheetName val="12Unrealized"/>
      <sheetName val="13LogFilePIKR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WLR"/>
      <sheetName val="ARF"/>
      <sheetName val="ARF - CO"/>
      <sheetName val="link-all"/>
      <sheetName val="Sheet6"/>
      <sheetName val="Sheet1"/>
    </sheetNames>
    <sheetDataSet>
      <sheetData sheetId="0" refreshError="1">
        <row r="3">
          <cell r="C3">
            <v>37435</v>
          </cell>
        </row>
        <row r="4">
          <cell r="C4">
            <v>37440</v>
          </cell>
        </row>
        <row r="9">
          <cell r="P9">
            <v>7000</v>
          </cell>
        </row>
        <row r="13">
          <cell r="P13">
            <v>4.4999999999999998E-2</v>
          </cell>
        </row>
        <row r="46">
          <cell r="P46">
            <v>0.7</v>
          </cell>
        </row>
        <row r="48">
          <cell r="P48">
            <v>0.62</v>
          </cell>
        </row>
        <row r="79">
          <cell r="E79">
            <v>1200.5</v>
          </cell>
        </row>
        <row r="80">
          <cell r="E80">
            <v>119.86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0"/>
  <sheetViews>
    <sheetView tabSelected="1" zoomScale="85" zoomScaleNormal="85" workbookViewId="0">
      <selection activeCell="E10" sqref="E10"/>
    </sheetView>
  </sheetViews>
  <sheetFormatPr defaultRowHeight="12.75"/>
  <cols>
    <col min="1" max="2" width="10.140625" bestFit="1" customWidth="1"/>
    <col min="3" max="5" width="7.85546875" customWidth="1"/>
    <col min="6" max="6" width="9" customWidth="1"/>
    <col min="7" max="9" width="7.85546875" customWidth="1"/>
    <col min="10" max="10" width="9" customWidth="1"/>
    <col min="11" max="13" width="7.85546875" customWidth="1"/>
    <col min="14" max="14" width="9" customWidth="1"/>
    <col min="17" max="17" width="10.140625" bestFit="1" customWidth="1"/>
  </cols>
  <sheetData>
    <row r="1" spans="1:18">
      <c r="A1" s="1" t="s">
        <v>0</v>
      </c>
      <c r="B1" s="2"/>
      <c r="C1" s="3"/>
      <c r="D1" s="3"/>
    </row>
    <row r="2" spans="1:18">
      <c r="A2" s="1"/>
      <c r="B2" s="2"/>
      <c r="C2" s="3"/>
      <c r="D2" s="3"/>
    </row>
    <row r="3" spans="1:18">
      <c r="A3" s="1" t="s">
        <v>1</v>
      </c>
      <c r="B3" s="2"/>
      <c r="C3" s="3"/>
      <c r="D3" s="3"/>
    </row>
    <row r="4" spans="1:18">
      <c r="A4" s="1"/>
      <c r="B4" s="2"/>
      <c r="C4" s="3"/>
      <c r="D4" s="3"/>
    </row>
    <row r="5" spans="1:18">
      <c r="A5" s="4" t="s">
        <v>2</v>
      </c>
      <c r="B5" s="3"/>
      <c r="C5" s="3"/>
      <c r="D5" s="3"/>
    </row>
    <row r="6" spans="1:18">
      <c r="A6" s="4" t="s">
        <v>3</v>
      </c>
      <c r="B6" s="3"/>
      <c r="C6" s="3"/>
      <c r="D6" s="3"/>
    </row>
    <row r="7" spans="1:18">
      <c r="A7" s="4" t="s">
        <v>4</v>
      </c>
      <c r="B7" s="3"/>
      <c r="C7" s="3"/>
      <c r="D7" s="3"/>
    </row>
    <row r="8" spans="1:18">
      <c r="A8" s="4" t="s">
        <v>5</v>
      </c>
      <c r="B8" s="3"/>
      <c r="C8" s="3"/>
      <c r="D8" s="3"/>
    </row>
    <row r="9" spans="1:18">
      <c r="A9" s="4"/>
      <c r="B9" s="3"/>
      <c r="C9" s="3"/>
      <c r="D9" s="3"/>
    </row>
    <row r="10" spans="1:18">
      <c r="A10" s="4" t="s">
        <v>6</v>
      </c>
      <c r="B10" s="3"/>
      <c r="C10" s="3"/>
      <c r="D10" s="3"/>
    </row>
    <row r="11" spans="1:18">
      <c r="A11" s="4" t="s">
        <v>7</v>
      </c>
      <c r="B11" s="3"/>
      <c r="C11" s="3"/>
      <c r="D11" s="3"/>
    </row>
    <row r="12" spans="1:18">
      <c r="A12" s="4" t="s">
        <v>8</v>
      </c>
      <c r="B12" s="3"/>
      <c r="C12" s="3"/>
      <c r="D12" s="3"/>
    </row>
    <row r="13" spans="1:18">
      <c r="A13" s="4" t="s">
        <v>9</v>
      </c>
      <c r="B13" s="3"/>
      <c r="C13" s="3"/>
      <c r="D13" s="3"/>
    </row>
    <row r="14" spans="1:18" ht="13.5" thickBot="1">
      <c r="A14" s="1"/>
      <c r="B14" s="3"/>
      <c r="C14" s="5"/>
      <c r="D14" s="5"/>
      <c r="E14" s="5"/>
      <c r="F14" s="5"/>
      <c r="G14" s="5"/>
      <c r="H14" s="5"/>
      <c r="I14" s="5"/>
      <c r="J14" s="5"/>
    </row>
    <row r="15" spans="1:18" ht="13.5" thickBot="1">
      <c r="C15" s="6" t="s">
        <v>10</v>
      </c>
      <c r="D15" s="7"/>
      <c r="E15" s="7"/>
      <c r="F15" s="8"/>
      <c r="G15" s="6" t="s">
        <v>10</v>
      </c>
      <c r="H15" s="7"/>
      <c r="I15" s="7"/>
      <c r="J15" s="8"/>
      <c r="K15" s="6" t="s">
        <v>11</v>
      </c>
      <c r="L15" s="7"/>
      <c r="M15" s="7"/>
      <c r="N15" s="8"/>
      <c r="O15" s="6" t="s">
        <v>11</v>
      </c>
      <c r="P15" s="7"/>
      <c r="Q15" s="7"/>
      <c r="R15" s="8"/>
    </row>
    <row r="16" spans="1:18">
      <c r="A16" s="9" t="s">
        <v>12</v>
      </c>
      <c r="B16" s="10"/>
      <c r="C16" s="11" t="s">
        <v>13</v>
      </c>
      <c r="D16" s="12"/>
      <c r="E16" s="12"/>
      <c r="F16" s="13"/>
      <c r="G16" s="14" t="s">
        <v>14</v>
      </c>
      <c r="H16" s="15"/>
      <c r="I16" s="15"/>
      <c r="J16" s="16"/>
      <c r="K16" s="14" t="s">
        <v>15</v>
      </c>
      <c r="L16" s="15"/>
      <c r="M16" s="15"/>
      <c r="N16" s="16"/>
      <c r="O16" s="14" t="s">
        <v>16</v>
      </c>
      <c r="P16" s="15"/>
      <c r="Q16" s="15"/>
      <c r="R16" s="16"/>
    </row>
    <row r="17" spans="1:18" ht="21">
      <c r="A17" s="17" t="s">
        <v>17</v>
      </c>
      <c r="B17" s="18" t="s">
        <v>18</v>
      </c>
      <c r="C17" s="19" t="s">
        <v>19</v>
      </c>
      <c r="D17" s="20" t="s">
        <v>20</v>
      </c>
      <c r="E17" s="20" t="s">
        <v>21</v>
      </c>
      <c r="F17" s="21" t="s">
        <v>22</v>
      </c>
      <c r="G17" s="19" t="s">
        <v>19</v>
      </c>
      <c r="H17" s="20" t="s">
        <v>20</v>
      </c>
      <c r="I17" s="20" t="s">
        <v>21</v>
      </c>
      <c r="J17" s="21" t="s">
        <v>22</v>
      </c>
      <c r="K17" s="19" t="s">
        <v>19</v>
      </c>
      <c r="L17" s="20" t="s">
        <v>20</v>
      </c>
      <c r="M17" s="20" t="s">
        <v>21</v>
      </c>
      <c r="N17" s="21" t="s">
        <v>23</v>
      </c>
      <c r="O17" s="19" t="s">
        <v>19</v>
      </c>
      <c r="P17" s="20" t="s">
        <v>20</v>
      </c>
      <c r="Q17" s="20" t="s">
        <v>21</v>
      </c>
      <c r="R17" s="21" t="s">
        <v>23</v>
      </c>
    </row>
    <row r="18" spans="1:18">
      <c r="A18" s="22">
        <v>39097</v>
      </c>
      <c r="B18" s="22">
        <v>39112</v>
      </c>
      <c r="C18" s="23">
        <f>IF(DAY(A18)=31,30,DAY(A18))</f>
        <v>15</v>
      </c>
      <c r="D18" s="24">
        <f>IF(AND(DAY(B18)=31,(OR(DAY(A18)=31,DAY(A18)=30))),30,MIN(DAY(B18),31))</f>
        <v>30</v>
      </c>
      <c r="E18" s="24">
        <f t="shared" ref="E18:E54" si="0">((YEAR($B18)-YEAR($A18))*360+((MONTH($B18)-MONTH($A18))*30+($D18-$C18)))+1</f>
        <v>16</v>
      </c>
      <c r="F18" s="25">
        <f>$E18/360</f>
        <v>4.4444444444444446E-2</v>
      </c>
      <c r="G18" s="23">
        <f>IF(DAY($A18)=31,30,DAY($A18))</f>
        <v>15</v>
      </c>
      <c r="H18" s="26">
        <f>IF(DAY($B18)=31,30,DAY($B18))</f>
        <v>30</v>
      </c>
      <c r="I18" s="24">
        <f>((YEAR(B18)-YEAR(A18))*360+((MONTH(B18)-MONTH(A18))*30+(H18-G18)))+1</f>
        <v>16</v>
      </c>
      <c r="J18" s="25">
        <f>$I18/360</f>
        <v>4.4444444444444446E-2</v>
      </c>
      <c r="K18" s="23">
        <f>IF(DAY($A18)=31,30,DAY($A18))</f>
        <v>15</v>
      </c>
      <c r="L18" s="26">
        <f>IF(DAY($B18)=31,30,DAY($B18))</f>
        <v>30</v>
      </c>
      <c r="M18" s="24">
        <f t="shared" ref="M18:M54" si="1">((YEAR($B18)-YEAR($A18))*360+((MONTH($B18)-MONTH($A18))*30+($L18-$K18)))+1</f>
        <v>16</v>
      </c>
      <c r="N18" s="25">
        <f t="shared" ref="N18:N54" si="2">$M18/365</f>
        <v>4.3835616438356165E-2</v>
      </c>
      <c r="O18" s="27" t="s">
        <v>24</v>
      </c>
      <c r="P18" s="4" t="s">
        <v>24</v>
      </c>
      <c r="Q18" s="24">
        <f>((YEAR($B18)-YEAR($A18))*365+((MONTH($B18)-MONTH($A18))*365/12))</f>
        <v>0</v>
      </c>
      <c r="R18" s="25">
        <f t="shared" ref="R18:R53" si="3">Q18/360</f>
        <v>0</v>
      </c>
    </row>
    <row r="19" spans="1:18">
      <c r="A19" s="22">
        <v>39097</v>
      </c>
      <c r="B19" s="22">
        <v>39128</v>
      </c>
      <c r="C19" s="23">
        <f t="shared" ref="C19:C54" si="4">IF(DAY(A19)=31,30,DAY(A19))</f>
        <v>15</v>
      </c>
      <c r="D19" s="24">
        <f t="shared" ref="D19:D54" si="5">IF(AND(DAY(B19)=31,(OR(DAY(A19)=31,DAY(A19)=30))),30,MIN(DAY(B19),31))</f>
        <v>15</v>
      </c>
      <c r="E19" s="24">
        <f t="shared" si="0"/>
        <v>31</v>
      </c>
      <c r="F19" s="25">
        <f>$E19/360</f>
        <v>8.611111111111111E-2</v>
      </c>
      <c r="G19" s="23">
        <f t="shared" ref="G19:G54" si="6">IF(DAY($A19)=31,30,DAY($A19))</f>
        <v>15</v>
      </c>
      <c r="H19" s="26">
        <f t="shared" ref="H19:H54" si="7">IF(DAY($B19)=31,30,DAY($B19))</f>
        <v>15</v>
      </c>
      <c r="I19" s="24">
        <f t="shared" ref="I19:I53" si="8">((YEAR(B19)-YEAR(A19))*360+((MONTH(B19)-MONTH(A19))*30+(H19-G19)))+1</f>
        <v>31</v>
      </c>
      <c r="J19" s="25">
        <f t="shared" ref="J19:J54" si="9">$I19/360</f>
        <v>8.611111111111111E-2</v>
      </c>
      <c r="K19" s="23">
        <f t="shared" ref="K19:K54" si="10">IF(DAY($A19)=31,30,DAY($A19))</f>
        <v>15</v>
      </c>
      <c r="L19" s="26">
        <f t="shared" ref="L19:L54" si="11">IF(DAY($B19)=31,30,DAY($B19))</f>
        <v>15</v>
      </c>
      <c r="M19" s="24">
        <f t="shared" si="1"/>
        <v>31</v>
      </c>
      <c r="N19" s="25">
        <f t="shared" si="2"/>
        <v>8.4931506849315067E-2</v>
      </c>
      <c r="O19" s="27" t="s">
        <v>24</v>
      </c>
      <c r="P19" s="4" t="s">
        <v>24</v>
      </c>
      <c r="Q19" s="24">
        <f>((YEAR($B19)-YEAR($A19))*365+((MONTH($B19)-MONTH($A19))*365/12))</f>
        <v>30.416666666666668</v>
      </c>
      <c r="R19" s="25">
        <f t="shared" si="3"/>
        <v>8.4490740740740741E-2</v>
      </c>
    </row>
    <row r="20" spans="1:18">
      <c r="A20" s="22">
        <v>39097</v>
      </c>
      <c r="B20" s="22">
        <v>39278</v>
      </c>
      <c r="C20" s="23">
        <f t="shared" si="4"/>
        <v>15</v>
      </c>
      <c r="D20" s="24">
        <f t="shared" si="5"/>
        <v>15</v>
      </c>
      <c r="E20" s="24">
        <f t="shared" si="0"/>
        <v>181</v>
      </c>
      <c r="F20" s="25">
        <f>$E20/360</f>
        <v>0.50277777777777777</v>
      </c>
      <c r="G20" s="23">
        <f t="shared" si="6"/>
        <v>15</v>
      </c>
      <c r="H20" s="26">
        <f t="shared" si="7"/>
        <v>15</v>
      </c>
      <c r="I20" s="24">
        <f t="shared" si="8"/>
        <v>181</v>
      </c>
      <c r="J20" s="25">
        <f t="shared" si="9"/>
        <v>0.50277777777777777</v>
      </c>
      <c r="K20" s="23">
        <f t="shared" si="10"/>
        <v>15</v>
      </c>
      <c r="L20" s="26">
        <f t="shared" si="11"/>
        <v>15</v>
      </c>
      <c r="M20" s="24">
        <f t="shared" si="1"/>
        <v>181</v>
      </c>
      <c r="N20" s="25">
        <f t="shared" si="2"/>
        <v>0.49589041095890413</v>
      </c>
      <c r="O20" s="27" t="s">
        <v>24</v>
      </c>
      <c r="P20" s="4" t="s">
        <v>24</v>
      </c>
      <c r="Q20" s="24">
        <f>((YEAR($B20)-YEAR($A20))*365+((MONTH($B20)-MONTH($A20))*365/12))</f>
        <v>182.5</v>
      </c>
      <c r="R20" s="25">
        <f t="shared" si="3"/>
        <v>0.50694444444444442</v>
      </c>
    </row>
    <row r="21" spans="1:18">
      <c r="A21" s="22">
        <v>39355</v>
      </c>
      <c r="B21" s="22">
        <v>39538</v>
      </c>
      <c r="C21" s="23">
        <f t="shared" si="4"/>
        <v>30</v>
      </c>
      <c r="D21" s="24">
        <f t="shared" si="5"/>
        <v>30</v>
      </c>
      <c r="E21" s="24">
        <f>((YEAR($B21)-YEAR($A21))*360+((MONTH($B21)-MONTH($A21))*30+($D21-$C21)))+1</f>
        <v>181</v>
      </c>
      <c r="F21" s="25">
        <f>$E21/360</f>
        <v>0.50277777777777777</v>
      </c>
      <c r="G21" s="23">
        <f t="shared" si="6"/>
        <v>30</v>
      </c>
      <c r="H21" s="26">
        <f t="shared" si="7"/>
        <v>30</v>
      </c>
      <c r="I21" s="24">
        <f t="shared" si="8"/>
        <v>181</v>
      </c>
      <c r="J21" s="25">
        <f t="shared" si="9"/>
        <v>0.50277777777777777</v>
      </c>
      <c r="K21" s="23">
        <f t="shared" si="10"/>
        <v>30</v>
      </c>
      <c r="L21" s="26">
        <f t="shared" si="11"/>
        <v>30</v>
      </c>
      <c r="M21" s="24">
        <f t="shared" si="1"/>
        <v>181</v>
      </c>
      <c r="N21" s="25">
        <f t="shared" si="2"/>
        <v>0.49589041095890413</v>
      </c>
      <c r="O21" s="27" t="s">
        <v>24</v>
      </c>
      <c r="P21" s="4" t="s">
        <v>24</v>
      </c>
      <c r="Q21" s="24">
        <f>((YEAR($B21)-YEAR($A21))*365+((MONTH($B21)-MONTH($A21))*365/12))</f>
        <v>182.5</v>
      </c>
      <c r="R21" s="25">
        <f t="shared" si="3"/>
        <v>0.50694444444444442</v>
      </c>
    </row>
    <row r="22" spans="1:18">
      <c r="A22" s="22">
        <v>39355</v>
      </c>
      <c r="B22" s="22">
        <v>39386</v>
      </c>
      <c r="C22" s="23">
        <f t="shared" si="4"/>
        <v>30</v>
      </c>
      <c r="D22" s="24">
        <f t="shared" si="5"/>
        <v>30</v>
      </c>
      <c r="E22" s="24">
        <f t="shared" si="0"/>
        <v>31</v>
      </c>
      <c r="F22" s="25">
        <f>$E22/360</f>
        <v>8.611111111111111E-2</v>
      </c>
      <c r="G22" s="23">
        <f t="shared" si="6"/>
        <v>30</v>
      </c>
      <c r="H22" s="26">
        <f t="shared" si="7"/>
        <v>30</v>
      </c>
      <c r="I22" s="24">
        <f t="shared" si="8"/>
        <v>31</v>
      </c>
      <c r="J22" s="25">
        <f t="shared" si="9"/>
        <v>8.611111111111111E-2</v>
      </c>
      <c r="K22" s="23">
        <f t="shared" si="10"/>
        <v>30</v>
      </c>
      <c r="L22" s="26">
        <f t="shared" si="11"/>
        <v>30</v>
      </c>
      <c r="M22" s="24">
        <f t="shared" si="1"/>
        <v>31</v>
      </c>
      <c r="N22" s="25">
        <f t="shared" si="2"/>
        <v>8.4931506849315067E-2</v>
      </c>
      <c r="O22" s="27" t="s">
        <v>24</v>
      </c>
      <c r="P22" s="4" t="s">
        <v>24</v>
      </c>
      <c r="Q22" s="24">
        <f>((YEAR($B22)-YEAR($A22))*365+((MONTH($B22)-MONTH($A22))*365/12))</f>
        <v>30.416666666666668</v>
      </c>
      <c r="R22" s="25">
        <f t="shared" si="3"/>
        <v>8.4490740740740741E-2</v>
      </c>
    </row>
    <row r="23" spans="1:18">
      <c r="A23" s="22">
        <v>39355</v>
      </c>
      <c r="B23" s="22">
        <v>39721</v>
      </c>
      <c r="C23" s="23">
        <f t="shared" si="4"/>
        <v>30</v>
      </c>
      <c r="D23" s="24">
        <f t="shared" si="5"/>
        <v>30</v>
      </c>
      <c r="E23" s="24">
        <f t="shared" si="0"/>
        <v>361</v>
      </c>
      <c r="F23" s="25">
        <f t="shared" ref="F23:F54" si="12">$E23/360</f>
        <v>1.0027777777777778</v>
      </c>
      <c r="G23" s="23">
        <f t="shared" si="6"/>
        <v>30</v>
      </c>
      <c r="H23" s="26">
        <f t="shared" si="7"/>
        <v>30</v>
      </c>
      <c r="I23" s="24">
        <f>((YEAR(B23)-YEAR(A23))*360+((MONTH(B23)-MONTH(A23))*30+(H23-G23)))+1</f>
        <v>361</v>
      </c>
      <c r="J23" s="25">
        <f t="shared" si="9"/>
        <v>1.0027777777777778</v>
      </c>
      <c r="K23" s="23">
        <f t="shared" si="10"/>
        <v>30</v>
      </c>
      <c r="L23" s="26">
        <f t="shared" si="11"/>
        <v>30</v>
      </c>
      <c r="M23" s="24">
        <f t="shared" si="1"/>
        <v>361</v>
      </c>
      <c r="N23" s="25">
        <f t="shared" si="2"/>
        <v>0.989041095890411</v>
      </c>
      <c r="O23" s="27" t="s">
        <v>24</v>
      </c>
      <c r="P23" s="4" t="s">
        <v>24</v>
      </c>
      <c r="Q23" s="24">
        <f t="shared" ref="Q23:Q54" si="13">((YEAR($B23)-YEAR($A23))*365+((MONTH($B23)-MONTH($A23))*365/12))</f>
        <v>365</v>
      </c>
      <c r="R23" s="25">
        <f t="shared" si="3"/>
        <v>1.0138888888888888</v>
      </c>
    </row>
    <row r="24" spans="1:18">
      <c r="A24" s="22">
        <v>39097</v>
      </c>
      <c r="B24" s="22">
        <v>39113</v>
      </c>
      <c r="C24" s="23">
        <f t="shared" si="4"/>
        <v>15</v>
      </c>
      <c r="D24" s="24">
        <f t="shared" si="5"/>
        <v>31</v>
      </c>
      <c r="E24" s="24">
        <f t="shared" si="0"/>
        <v>17</v>
      </c>
      <c r="F24" s="25">
        <f t="shared" si="12"/>
        <v>4.7222222222222221E-2</v>
      </c>
      <c r="G24" s="23">
        <f t="shared" si="6"/>
        <v>15</v>
      </c>
      <c r="H24" s="26">
        <f t="shared" si="7"/>
        <v>30</v>
      </c>
      <c r="I24" s="24">
        <f t="shared" si="8"/>
        <v>16</v>
      </c>
      <c r="J24" s="25">
        <f t="shared" si="9"/>
        <v>4.4444444444444446E-2</v>
      </c>
      <c r="K24" s="23">
        <f t="shared" si="10"/>
        <v>15</v>
      </c>
      <c r="L24" s="26">
        <f t="shared" si="11"/>
        <v>30</v>
      </c>
      <c r="M24" s="24">
        <f t="shared" si="1"/>
        <v>16</v>
      </c>
      <c r="N24" s="25">
        <f t="shared" si="2"/>
        <v>4.3835616438356165E-2</v>
      </c>
      <c r="O24" s="27" t="s">
        <v>24</v>
      </c>
      <c r="P24" s="4" t="s">
        <v>24</v>
      </c>
      <c r="Q24" s="24">
        <f t="shared" si="13"/>
        <v>0</v>
      </c>
      <c r="R24" s="25">
        <f t="shared" si="3"/>
        <v>0</v>
      </c>
    </row>
    <row r="25" spans="1:18">
      <c r="A25" s="22">
        <v>39113</v>
      </c>
      <c r="B25" s="22">
        <v>39141</v>
      </c>
      <c r="C25" s="23">
        <f t="shared" si="4"/>
        <v>30</v>
      </c>
      <c r="D25" s="24">
        <f t="shared" si="5"/>
        <v>28</v>
      </c>
      <c r="E25" s="24">
        <f t="shared" si="0"/>
        <v>29</v>
      </c>
      <c r="F25" s="25">
        <f t="shared" si="12"/>
        <v>8.0555555555555561E-2</v>
      </c>
      <c r="G25" s="23">
        <f t="shared" si="6"/>
        <v>30</v>
      </c>
      <c r="H25" s="26">
        <f>IF(DAY($B25)=31,30,DAY($B25))</f>
        <v>28</v>
      </c>
      <c r="I25" s="28">
        <f>((YEAR(B25)-YEAR(A25))*360+((MONTH(B25)-MONTH(A25))*30+(H25-G25)))+1</f>
        <v>29</v>
      </c>
      <c r="J25" s="25">
        <f t="shared" si="9"/>
        <v>8.0555555555555561E-2</v>
      </c>
      <c r="K25" s="23">
        <f t="shared" si="10"/>
        <v>30</v>
      </c>
      <c r="L25" s="26">
        <f t="shared" si="11"/>
        <v>28</v>
      </c>
      <c r="M25" s="24">
        <f t="shared" si="1"/>
        <v>29</v>
      </c>
      <c r="N25" s="25">
        <f t="shared" si="2"/>
        <v>7.9452054794520555E-2</v>
      </c>
      <c r="O25" s="27" t="s">
        <v>24</v>
      </c>
      <c r="P25" s="4" t="s">
        <v>24</v>
      </c>
      <c r="Q25" s="24">
        <f t="shared" si="13"/>
        <v>30.416666666666668</v>
      </c>
      <c r="R25" s="25">
        <f t="shared" si="3"/>
        <v>8.4490740740740741E-2</v>
      </c>
    </row>
    <row r="26" spans="1:18">
      <c r="A26" s="22">
        <v>39141</v>
      </c>
      <c r="B26" s="22">
        <v>39172</v>
      </c>
      <c r="C26" s="23">
        <f t="shared" si="4"/>
        <v>28</v>
      </c>
      <c r="D26" s="24">
        <f t="shared" si="5"/>
        <v>31</v>
      </c>
      <c r="E26" s="24">
        <f t="shared" si="0"/>
        <v>34</v>
      </c>
      <c r="F26" s="25">
        <f t="shared" si="12"/>
        <v>9.4444444444444442E-2</v>
      </c>
      <c r="G26" s="23">
        <f t="shared" si="6"/>
        <v>28</v>
      </c>
      <c r="H26" s="26">
        <f t="shared" si="7"/>
        <v>30</v>
      </c>
      <c r="I26" s="28">
        <f t="shared" si="8"/>
        <v>33</v>
      </c>
      <c r="J26" s="25">
        <f t="shared" si="9"/>
        <v>9.166666666666666E-2</v>
      </c>
      <c r="K26" s="23">
        <f t="shared" si="10"/>
        <v>28</v>
      </c>
      <c r="L26" s="26">
        <f t="shared" si="11"/>
        <v>30</v>
      </c>
      <c r="M26" s="24">
        <f t="shared" si="1"/>
        <v>33</v>
      </c>
      <c r="N26" s="25">
        <f t="shared" si="2"/>
        <v>9.0410958904109592E-2</v>
      </c>
      <c r="O26" s="27" t="s">
        <v>24</v>
      </c>
      <c r="P26" s="4" t="s">
        <v>24</v>
      </c>
      <c r="Q26" s="24">
        <f t="shared" si="13"/>
        <v>30.416666666666668</v>
      </c>
      <c r="R26" s="25">
        <f t="shared" si="3"/>
        <v>8.4490740740740741E-2</v>
      </c>
    </row>
    <row r="27" spans="1:18">
      <c r="A27" s="22">
        <v>38960</v>
      </c>
      <c r="B27" s="22">
        <v>39141</v>
      </c>
      <c r="C27" s="23">
        <f t="shared" si="4"/>
        <v>30</v>
      </c>
      <c r="D27" s="24">
        <f t="shared" si="5"/>
        <v>28</v>
      </c>
      <c r="E27" s="24">
        <f t="shared" si="0"/>
        <v>179</v>
      </c>
      <c r="F27" s="25">
        <f t="shared" si="12"/>
        <v>0.49722222222222223</v>
      </c>
      <c r="G27" s="23">
        <f t="shared" si="6"/>
        <v>30</v>
      </c>
      <c r="H27" s="26">
        <f t="shared" si="7"/>
        <v>28</v>
      </c>
      <c r="I27" s="28">
        <f t="shared" si="8"/>
        <v>179</v>
      </c>
      <c r="J27" s="25">
        <f t="shared" si="9"/>
        <v>0.49722222222222223</v>
      </c>
      <c r="K27" s="23">
        <f t="shared" si="10"/>
        <v>30</v>
      </c>
      <c r="L27" s="26">
        <f t="shared" si="11"/>
        <v>28</v>
      </c>
      <c r="M27" s="24">
        <f t="shared" si="1"/>
        <v>179</v>
      </c>
      <c r="N27" s="25">
        <f t="shared" si="2"/>
        <v>0.49041095890410957</v>
      </c>
      <c r="O27" s="27" t="s">
        <v>24</v>
      </c>
      <c r="P27" s="4" t="s">
        <v>24</v>
      </c>
      <c r="Q27" s="24">
        <f t="shared" si="13"/>
        <v>182.5</v>
      </c>
      <c r="R27" s="25">
        <f t="shared" si="3"/>
        <v>0.50694444444444442</v>
      </c>
    </row>
    <row r="28" spans="1:18">
      <c r="A28" s="22">
        <v>39141</v>
      </c>
      <c r="B28" s="22">
        <v>39325</v>
      </c>
      <c r="C28" s="23">
        <f t="shared" si="4"/>
        <v>28</v>
      </c>
      <c r="D28" s="24">
        <f t="shared" si="5"/>
        <v>31</v>
      </c>
      <c r="E28" s="24">
        <f t="shared" si="0"/>
        <v>184</v>
      </c>
      <c r="F28" s="25">
        <f t="shared" si="12"/>
        <v>0.51111111111111107</v>
      </c>
      <c r="G28" s="23">
        <f t="shared" si="6"/>
        <v>28</v>
      </c>
      <c r="H28" s="26">
        <f t="shared" si="7"/>
        <v>30</v>
      </c>
      <c r="I28" s="28">
        <f t="shared" si="8"/>
        <v>183</v>
      </c>
      <c r="J28" s="25">
        <f t="shared" si="9"/>
        <v>0.5083333333333333</v>
      </c>
      <c r="K28" s="23">
        <f t="shared" si="10"/>
        <v>28</v>
      </c>
      <c r="L28" s="26">
        <f t="shared" si="11"/>
        <v>30</v>
      </c>
      <c r="M28" s="24">
        <f t="shared" si="1"/>
        <v>183</v>
      </c>
      <c r="N28" s="25">
        <f t="shared" si="2"/>
        <v>0.50136986301369868</v>
      </c>
      <c r="O28" s="27" t="s">
        <v>24</v>
      </c>
      <c r="P28" s="4" t="s">
        <v>24</v>
      </c>
      <c r="Q28" s="24">
        <f t="shared" si="13"/>
        <v>182.5</v>
      </c>
      <c r="R28" s="25">
        <f t="shared" si="3"/>
        <v>0.50694444444444442</v>
      </c>
    </row>
    <row r="29" spans="1:18">
      <c r="A29" s="22">
        <v>39127</v>
      </c>
      <c r="B29" s="22">
        <v>39141</v>
      </c>
      <c r="C29" s="23">
        <f t="shared" si="4"/>
        <v>14</v>
      </c>
      <c r="D29" s="24">
        <f t="shared" si="5"/>
        <v>28</v>
      </c>
      <c r="E29" s="24">
        <f t="shared" si="0"/>
        <v>15</v>
      </c>
      <c r="F29" s="25">
        <f t="shared" si="12"/>
        <v>4.1666666666666664E-2</v>
      </c>
      <c r="G29" s="23">
        <f t="shared" si="6"/>
        <v>14</v>
      </c>
      <c r="H29" s="26">
        <f t="shared" si="7"/>
        <v>28</v>
      </c>
      <c r="I29" s="28">
        <f t="shared" si="8"/>
        <v>15</v>
      </c>
      <c r="J29" s="25">
        <f t="shared" si="9"/>
        <v>4.1666666666666664E-2</v>
      </c>
      <c r="K29" s="23">
        <f t="shared" si="10"/>
        <v>14</v>
      </c>
      <c r="L29" s="26">
        <f t="shared" si="11"/>
        <v>28</v>
      </c>
      <c r="M29" s="24">
        <f t="shared" si="1"/>
        <v>15</v>
      </c>
      <c r="N29" s="25">
        <f t="shared" si="2"/>
        <v>4.1095890410958902E-2</v>
      </c>
      <c r="O29" s="27" t="s">
        <v>24</v>
      </c>
      <c r="P29" s="4" t="s">
        <v>24</v>
      </c>
      <c r="Q29" s="24">
        <f t="shared" si="13"/>
        <v>0</v>
      </c>
      <c r="R29" s="25">
        <f t="shared" si="3"/>
        <v>0</v>
      </c>
    </row>
    <row r="30" spans="1:18">
      <c r="A30" s="22">
        <v>39139</v>
      </c>
      <c r="B30" s="22">
        <v>39507</v>
      </c>
      <c r="C30" s="23">
        <f t="shared" si="4"/>
        <v>26</v>
      </c>
      <c r="D30" s="24">
        <f t="shared" si="5"/>
        <v>29</v>
      </c>
      <c r="E30" s="24">
        <f t="shared" si="0"/>
        <v>364</v>
      </c>
      <c r="F30" s="25">
        <f t="shared" si="12"/>
        <v>1.0111111111111111</v>
      </c>
      <c r="G30" s="23">
        <f t="shared" si="6"/>
        <v>26</v>
      </c>
      <c r="H30" s="26">
        <f t="shared" si="7"/>
        <v>29</v>
      </c>
      <c r="I30" s="28">
        <f t="shared" si="8"/>
        <v>364</v>
      </c>
      <c r="J30" s="25">
        <f t="shared" si="9"/>
        <v>1.0111111111111111</v>
      </c>
      <c r="K30" s="23">
        <f t="shared" si="10"/>
        <v>26</v>
      </c>
      <c r="L30" s="26">
        <f t="shared" si="11"/>
        <v>29</v>
      </c>
      <c r="M30" s="24">
        <f t="shared" si="1"/>
        <v>364</v>
      </c>
      <c r="N30" s="25">
        <f t="shared" si="2"/>
        <v>0.99726027397260275</v>
      </c>
      <c r="O30" s="27" t="s">
        <v>24</v>
      </c>
      <c r="P30" s="4" t="s">
        <v>24</v>
      </c>
      <c r="Q30" s="24">
        <f t="shared" si="13"/>
        <v>365</v>
      </c>
      <c r="R30" s="25">
        <f t="shared" si="3"/>
        <v>1.0138888888888888</v>
      </c>
    </row>
    <row r="31" spans="1:18">
      <c r="A31" s="22">
        <v>39507</v>
      </c>
      <c r="B31" s="22">
        <v>39872</v>
      </c>
      <c r="C31" s="23">
        <f t="shared" si="4"/>
        <v>29</v>
      </c>
      <c r="D31" s="24">
        <f t="shared" si="5"/>
        <v>28</v>
      </c>
      <c r="E31" s="24">
        <f t="shared" si="0"/>
        <v>360</v>
      </c>
      <c r="F31" s="25">
        <f t="shared" si="12"/>
        <v>1</v>
      </c>
      <c r="G31" s="23">
        <f t="shared" si="6"/>
        <v>29</v>
      </c>
      <c r="H31" s="26">
        <f t="shared" si="7"/>
        <v>28</v>
      </c>
      <c r="I31" s="28">
        <f t="shared" si="8"/>
        <v>360</v>
      </c>
      <c r="J31" s="25">
        <f t="shared" si="9"/>
        <v>1</v>
      </c>
      <c r="K31" s="23">
        <f t="shared" si="10"/>
        <v>29</v>
      </c>
      <c r="L31" s="26">
        <f t="shared" si="11"/>
        <v>28</v>
      </c>
      <c r="M31" s="24">
        <f t="shared" si="1"/>
        <v>360</v>
      </c>
      <c r="N31" s="25">
        <f t="shared" si="2"/>
        <v>0.98630136986301364</v>
      </c>
      <c r="O31" s="27" t="s">
        <v>24</v>
      </c>
      <c r="P31" s="4" t="s">
        <v>24</v>
      </c>
      <c r="Q31" s="24">
        <f t="shared" si="13"/>
        <v>365</v>
      </c>
      <c r="R31" s="25">
        <f t="shared" si="3"/>
        <v>1.0138888888888888</v>
      </c>
    </row>
    <row r="32" spans="1:18">
      <c r="A32" s="22">
        <v>39507</v>
      </c>
      <c r="B32" s="22">
        <v>39537</v>
      </c>
      <c r="C32" s="23">
        <f t="shared" si="4"/>
        <v>29</v>
      </c>
      <c r="D32" s="24">
        <f t="shared" si="5"/>
        <v>30</v>
      </c>
      <c r="E32" s="24">
        <f t="shared" si="0"/>
        <v>32</v>
      </c>
      <c r="F32" s="25">
        <f t="shared" si="12"/>
        <v>8.8888888888888892E-2</v>
      </c>
      <c r="G32" s="23">
        <f t="shared" si="6"/>
        <v>29</v>
      </c>
      <c r="H32" s="26">
        <f t="shared" si="7"/>
        <v>30</v>
      </c>
      <c r="I32" s="28">
        <f t="shared" si="8"/>
        <v>32</v>
      </c>
      <c r="J32" s="25">
        <f t="shared" si="9"/>
        <v>8.8888888888888892E-2</v>
      </c>
      <c r="K32" s="23">
        <f t="shared" si="10"/>
        <v>29</v>
      </c>
      <c r="L32" s="26">
        <f t="shared" si="11"/>
        <v>30</v>
      </c>
      <c r="M32" s="24">
        <f t="shared" si="1"/>
        <v>32</v>
      </c>
      <c r="N32" s="25">
        <f t="shared" si="2"/>
        <v>8.7671232876712329E-2</v>
      </c>
      <c r="O32" s="27" t="s">
        <v>24</v>
      </c>
      <c r="P32" s="4" t="s">
        <v>24</v>
      </c>
      <c r="Q32" s="24">
        <f t="shared" si="13"/>
        <v>30.416666666666668</v>
      </c>
      <c r="R32" s="25">
        <f t="shared" si="3"/>
        <v>8.4490740740740741E-2</v>
      </c>
    </row>
    <row r="33" spans="1:18">
      <c r="A33" s="22">
        <v>39507</v>
      </c>
      <c r="B33" s="22">
        <v>39538</v>
      </c>
      <c r="C33" s="23">
        <f t="shared" si="4"/>
        <v>29</v>
      </c>
      <c r="D33" s="24">
        <f t="shared" si="5"/>
        <v>31</v>
      </c>
      <c r="E33" s="24">
        <f t="shared" si="0"/>
        <v>33</v>
      </c>
      <c r="F33" s="25">
        <f t="shared" si="12"/>
        <v>9.166666666666666E-2</v>
      </c>
      <c r="G33" s="23">
        <f t="shared" si="6"/>
        <v>29</v>
      </c>
      <c r="H33" s="26">
        <f t="shared" si="7"/>
        <v>30</v>
      </c>
      <c r="I33" s="28">
        <f t="shared" si="8"/>
        <v>32</v>
      </c>
      <c r="J33" s="25">
        <f t="shared" si="9"/>
        <v>8.8888888888888892E-2</v>
      </c>
      <c r="K33" s="23">
        <f t="shared" si="10"/>
        <v>29</v>
      </c>
      <c r="L33" s="26">
        <f t="shared" si="11"/>
        <v>30</v>
      </c>
      <c r="M33" s="24">
        <f t="shared" si="1"/>
        <v>32</v>
      </c>
      <c r="N33" s="25">
        <f t="shared" si="2"/>
        <v>8.7671232876712329E-2</v>
      </c>
      <c r="O33" s="27" t="s">
        <v>24</v>
      </c>
      <c r="P33" s="4" t="s">
        <v>24</v>
      </c>
      <c r="Q33" s="24">
        <f t="shared" si="13"/>
        <v>30.416666666666668</v>
      </c>
      <c r="R33" s="25">
        <f t="shared" si="3"/>
        <v>8.4490740740740741E-2</v>
      </c>
    </row>
    <row r="34" spans="1:18">
      <c r="A34" s="22">
        <v>39141</v>
      </c>
      <c r="B34" s="22">
        <v>39146</v>
      </c>
      <c r="C34" s="23">
        <f t="shared" si="4"/>
        <v>28</v>
      </c>
      <c r="D34" s="24">
        <f t="shared" si="5"/>
        <v>5</v>
      </c>
      <c r="E34" s="24">
        <f>((YEAR($B34)-YEAR($A34))*360+((MONTH($B34)-MONTH($A34))*30+($D34-$C34)))+1</f>
        <v>8</v>
      </c>
      <c r="F34" s="25">
        <f t="shared" si="12"/>
        <v>2.2222222222222223E-2</v>
      </c>
      <c r="G34" s="23">
        <f t="shared" si="6"/>
        <v>28</v>
      </c>
      <c r="H34" s="26">
        <f t="shared" si="7"/>
        <v>5</v>
      </c>
      <c r="I34" s="28">
        <f t="shared" si="8"/>
        <v>8</v>
      </c>
      <c r="J34" s="25">
        <f t="shared" si="9"/>
        <v>2.2222222222222223E-2</v>
      </c>
      <c r="K34" s="23">
        <f t="shared" si="10"/>
        <v>28</v>
      </c>
      <c r="L34" s="26">
        <f t="shared" si="11"/>
        <v>5</v>
      </c>
      <c r="M34" s="24">
        <f t="shared" si="1"/>
        <v>8</v>
      </c>
      <c r="N34" s="25">
        <f t="shared" si="2"/>
        <v>2.1917808219178082E-2</v>
      </c>
      <c r="O34" s="27" t="s">
        <v>24</v>
      </c>
      <c r="P34" s="4" t="s">
        <v>24</v>
      </c>
      <c r="Q34" s="24">
        <f t="shared" si="13"/>
        <v>30.416666666666668</v>
      </c>
      <c r="R34" s="25">
        <f t="shared" si="3"/>
        <v>8.4490740740740741E-2</v>
      </c>
    </row>
    <row r="35" spans="1:18">
      <c r="A35" s="22">
        <v>39386</v>
      </c>
      <c r="B35" s="22">
        <v>39414</v>
      </c>
      <c r="C35" s="23">
        <f t="shared" si="4"/>
        <v>30</v>
      </c>
      <c r="D35" s="24">
        <f t="shared" si="5"/>
        <v>28</v>
      </c>
      <c r="E35" s="24">
        <f t="shared" si="0"/>
        <v>29</v>
      </c>
      <c r="F35" s="25">
        <f t="shared" si="12"/>
        <v>8.0555555555555561E-2</v>
      </c>
      <c r="G35" s="23">
        <f t="shared" si="6"/>
        <v>30</v>
      </c>
      <c r="H35" s="26">
        <f t="shared" si="7"/>
        <v>28</v>
      </c>
      <c r="I35" s="28">
        <f t="shared" si="8"/>
        <v>29</v>
      </c>
      <c r="J35" s="25">
        <f t="shared" si="9"/>
        <v>8.0555555555555561E-2</v>
      </c>
      <c r="K35" s="23">
        <f t="shared" si="10"/>
        <v>30</v>
      </c>
      <c r="L35" s="26">
        <f t="shared" si="11"/>
        <v>28</v>
      </c>
      <c r="M35" s="24">
        <f t="shared" si="1"/>
        <v>29</v>
      </c>
      <c r="N35" s="25">
        <f t="shared" si="2"/>
        <v>7.9452054794520555E-2</v>
      </c>
      <c r="O35" s="27" t="s">
        <v>24</v>
      </c>
      <c r="P35" s="4" t="s">
        <v>24</v>
      </c>
      <c r="Q35" s="24">
        <f t="shared" si="13"/>
        <v>30.416666666666668</v>
      </c>
      <c r="R35" s="25">
        <f t="shared" si="3"/>
        <v>8.4490740740740741E-2</v>
      </c>
    </row>
    <row r="36" spans="1:18">
      <c r="A36" s="22">
        <v>39325</v>
      </c>
      <c r="B36" s="22">
        <v>39507</v>
      </c>
      <c r="C36" s="23">
        <f t="shared" si="4"/>
        <v>30</v>
      </c>
      <c r="D36" s="24">
        <f t="shared" si="5"/>
        <v>29</v>
      </c>
      <c r="E36" s="24">
        <f t="shared" si="0"/>
        <v>180</v>
      </c>
      <c r="F36" s="25">
        <f t="shared" si="12"/>
        <v>0.5</v>
      </c>
      <c r="G36" s="23">
        <f t="shared" si="6"/>
        <v>30</v>
      </c>
      <c r="H36" s="26">
        <f t="shared" si="7"/>
        <v>29</v>
      </c>
      <c r="I36" s="28">
        <f t="shared" si="8"/>
        <v>180</v>
      </c>
      <c r="J36" s="25">
        <f t="shared" si="9"/>
        <v>0.5</v>
      </c>
      <c r="K36" s="23">
        <f t="shared" si="10"/>
        <v>30</v>
      </c>
      <c r="L36" s="26">
        <f t="shared" si="11"/>
        <v>29</v>
      </c>
      <c r="M36" s="24">
        <f t="shared" si="1"/>
        <v>180</v>
      </c>
      <c r="N36" s="25">
        <f t="shared" si="2"/>
        <v>0.49315068493150682</v>
      </c>
      <c r="O36" s="27" t="s">
        <v>24</v>
      </c>
      <c r="P36" s="4" t="s">
        <v>24</v>
      </c>
      <c r="Q36" s="24">
        <f t="shared" si="13"/>
        <v>182.5</v>
      </c>
      <c r="R36" s="25">
        <f t="shared" si="3"/>
        <v>0.50694444444444442</v>
      </c>
    </row>
    <row r="37" spans="1:18">
      <c r="A37" s="22">
        <v>39507</v>
      </c>
      <c r="B37" s="22">
        <v>39691</v>
      </c>
      <c r="C37" s="23">
        <f t="shared" si="4"/>
        <v>29</v>
      </c>
      <c r="D37" s="24">
        <f t="shared" si="5"/>
        <v>31</v>
      </c>
      <c r="E37" s="24">
        <f t="shared" si="0"/>
        <v>183</v>
      </c>
      <c r="F37" s="25">
        <f t="shared" si="12"/>
        <v>0.5083333333333333</v>
      </c>
      <c r="G37" s="23">
        <f t="shared" si="6"/>
        <v>29</v>
      </c>
      <c r="H37" s="26">
        <f t="shared" si="7"/>
        <v>30</v>
      </c>
      <c r="I37" s="28">
        <f t="shared" si="8"/>
        <v>182</v>
      </c>
      <c r="J37" s="25">
        <f t="shared" si="9"/>
        <v>0.50555555555555554</v>
      </c>
      <c r="K37" s="23">
        <f t="shared" si="10"/>
        <v>29</v>
      </c>
      <c r="L37" s="26">
        <f t="shared" si="11"/>
        <v>30</v>
      </c>
      <c r="M37" s="24">
        <f t="shared" si="1"/>
        <v>182</v>
      </c>
      <c r="N37" s="25">
        <f t="shared" si="2"/>
        <v>0.49863013698630138</v>
      </c>
      <c r="O37" s="27" t="s">
        <v>24</v>
      </c>
      <c r="P37" s="4" t="s">
        <v>24</v>
      </c>
      <c r="Q37" s="24">
        <f t="shared" si="13"/>
        <v>182.5</v>
      </c>
      <c r="R37" s="25">
        <f t="shared" si="3"/>
        <v>0.50694444444444442</v>
      </c>
    </row>
    <row r="38" spans="1:18">
      <c r="A38" s="22">
        <v>39691</v>
      </c>
      <c r="B38" s="22">
        <v>39872</v>
      </c>
      <c r="C38" s="23">
        <f t="shared" si="4"/>
        <v>30</v>
      </c>
      <c r="D38" s="24">
        <f t="shared" si="5"/>
        <v>28</v>
      </c>
      <c r="E38" s="24">
        <f t="shared" si="0"/>
        <v>179</v>
      </c>
      <c r="F38" s="25">
        <f t="shared" si="12"/>
        <v>0.49722222222222223</v>
      </c>
      <c r="G38" s="23">
        <f t="shared" si="6"/>
        <v>30</v>
      </c>
      <c r="H38" s="26">
        <f t="shared" si="7"/>
        <v>28</v>
      </c>
      <c r="I38" s="28">
        <f t="shared" si="8"/>
        <v>179</v>
      </c>
      <c r="J38" s="25">
        <f t="shared" si="9"/>
        <v>0.49722222222222223</v>
      </c>
      <c r="K38" s="23">
        <f t="shared" si="10"/>
        <v>30</v>
      </c>
      <c r="L38" s="26">
        <f t="shared" si="11"/>
        <v>28</v>
      </c>
      <c r="M38" s="24">
        <f t="shared" si="1"/>
        <v>179</v>
      </c>
      <c r="N38" s="25">
        <f t="shared" si="2"/>
        <v>0.49041095890410957</v>
      </c>
      <c r="O38" s="27" t="s">
        <v>24</v>
      </c>
      <c r="P38" s="4" t="s">
        <v>24</v>
      </c>
      <c r="Q38" s="24">
        <f t="shared" si="13"/>
        <v>182.5</v>
      </c>
      <c r="R38" s="25">
        <f t="shared" si="3"/>
        <v>0.50694444444444442</v>
      </c>
    </row>
    <row r="39" spans="1:18">
      <c r="A39" s="22">
        <v>39872</v>
      </c>
      <c r="B39" s="22">
        <v>40056</v>
      </c>
      <c r="C39" s="23">
        <f t="shared" si="4"/>
        <v>28</v>
      </c>
      <c r="D39" s="24">
        <f t="shared" si="5"/>
        <v>31</v>
      </c>
      <c r="E39" s="24">
        <f t="shared" si="0"/>
        <v>184</v>
      </c>
      <c r="F39" s="25">
        <f t="shared" si="12"/>
        <v>0.51111111111111107</v>
      </c>
      <c r="G39" s="23">
        <f t="shared" si="6"/>
        <v>28</v>
      </c>
      <c r="H39" s="26">
        <f t="shared" si="7"/>
        <v>30</v>
      </c>
      <c r="I39" s="28">
        <f t="shared" si="8"/>
        <v>183</v>
      </c>
      <c r="J39" s="25">
        <f t="shared" si="9"/>
        <v>0.5083333333333333</v>
      </c>
      <c r="K39" s="23">
        <f t="shared" si="10"/>
        <v>28</v>
      </c>
      <c r="L39" s="26">
        <f t="shared" si="11"/>
        <v>30</v>
      </c>
      <c r="M39" s="24">
        <f t="shared" si="1"/>
        <v>183</v>
      </c>
      <c r="N39" s="25">
        <f t="shared" si="2"/>
        <v>0.50136986301369868</v>
      </c>
      <c r="O39" s="27" t="s">
        <v>24</v>
      </c>
      <c r="P39" s="4" t="s">
        <v>24</v>
      </c>
      <c r="Q39" s="24">
        <f t="shared" si="13"/>
        <v>182.5</v>
      </c>
      <c r="R39" s="25">
        <f t="shared" si="3"/>
        <v>0.50694444444444442</v>
      </c>
    </row>
    <row r="40" spans="1:18">
      <c r="A40" s="22">
        <v>40329</v>
      </c>
      <c r="B40" s="22">
        <v>40420</v>
      </c>
      <c r="C40" s="23">
        <f t="shared" si="4"/>
        <v>30</v>
      </c>
      <c r="D40" s="24">
        <f t="shared" si="5"/>
        <v>30</v>
      </c>
      <c r="E40" s="24">
        <f t="shared" si="0"/>
        <v>91</v>
      </c>
      <c r="F40" s="25">
        <f t="shared" si="12"/>
        <v>0.25277777777777777</v>
      </c>
      <c r="G40" s="23">
        <f t="shared" si="6"/>
        <v>30</v>
      </c>
      <c r="H40" s="26">
        <f t="shared" si="7"/>
        <v>30</v>
      </c>
      <c r="I40" s="24">
        <f t="shared" si="8"/>
        <v>91</v>
      </c>
      <c r="J40" s="25">
        <f t="shared" si="9"/>
        <v>0.25277777777777777</v>
      </c>
      <c r="K40" s="23">
        <f t="shared" si="10"/>
        <v>30</v>
      </c>
      <c r="L40" s="26">
        <f t="shared" si="11"/>
        <v>30</v>
      </c>
      <c r="M40" s="24">
        <f t="shared" si="1"/>
        <v>91</v>
      </c>
      <c r="N40" s="25">
        <f t="shared" si="2"/>
        <v>0.24931506849315069</v>
      </c>
      <c r="O40" s="27" t="s">
        <v>24</v>
      </c>
      <c r="P40" s="4" t="s">
        <v>24</v>
      </c>
      <c r="Q40" s="24">
        <f t="shared" si="13"/>
        <v>91.25</v>
      </c>
      <c r="R40" s="25">
        <f t="shared" si="3"/>
        <v>0.25347222222222221</v>
      </c>
    </row>
    <row r="41" spans="1:18">
      <c r="A41" s="22">
        <v>40329</v>
      </c>
      <c r="B41" s="22">
        <v>40421</v>
      </c>
      <c r="C41" s="23">
        <f t="shared" si="4"/>
        <v>30</v>
      </c>
      <c r="D41" s="24">
        <f t="shared" si="5"/>
        <v>30</v>
      </c>
      <c r="E41" s="24">
        <f t="shared" si="0"/>
        <v>91</v>
      </c>
      <c r="F41" s="25">
        <f t="shared" si="12"/>
        <v>0.25277777777777777</v>
      </c>
      <c r="G41" s="23">
        <f t="shared" si="6"/>
        <v>30</v>
      </c>
      <c r="H41" s="26">
        <f t="shared" si="7"/>
        <v>30</v>
      </c>
      <c r="I41" s="24">
        <f t="shared" si="8"/>
        <v>91</v>
      </c>
      <c r="J41" s="25">
        <f t="shared" si="9"/>
        <v>0.25277777777777777</v>
      </c>
      <c r="K41" s="23">
        <f t="shared" si="10"/>
        <v>30</v>
      </c>
      <c r="L41" s="26">
        <f t="shared" si="11"/>
        <v>30</v>
      </c>
      <c r="M41" s="24">
        <f t="shared" si="1"/>
        <v>91</v>
      </c>
      <c r="N41" s="25">
        <f t="shared" si="2"/>
        <v>0.24931506849315069</v>
      </c>
      <c r="O41" s="27" t="s">
        <v>24</v>
      </c>
      <c r="P41" s="4" t="s">
        <v>24</v>
      </c>
      <c r="Q41" s="24">
        <f t="shared" si="13"/>
        <v>91.25</v>
      </c>
      <c r="R41" s="25">
        <f t="shared" si="3"/>
        <v>0.25347222222222221</v>
      </c>
    </row>
    <row r="42" spans="1:18">
      <c r="A42" s="22">
        <v>40512</v>
      </c>
      <c r="B42" s="22">
        <v>40543</v>
      </c>
      <c r="C42" s="23">
        <f t="shared" si="4"/>
        <v>30</v>
      </c>
      <c r="D42" s="24">
        <f t="shared" si="5"/>
        <v>30</v>
      </c>
      <c r="E42" s="24">
        <f t="shared" si="0"/>
        <v>31</v>
      </c>
      <c r="F42" s="25">
        <f t="shared" si="12"/>
        <v>8.611111111111111E-2</v>
      </c>
      <c r="G42" s="23">
        <f t="shared" si="6"/>
        <v>30</v>
      </c>
      <c r="H42" s="26">
        <f t="shared" si="7"/>
        <v>30</v>
      </c>
      <c r="I42" s="28">
        <f t="shared" si="8"/>
        <v>31</v>
      </c>
      <c r="J42" s="25">
        <f t="shared" si="9"/>
        <v>8.611111111111111E-2</v>
      </c>
      <c r="K42" s="23">
        <f t="shared" si="10"/>
        <v>30</v>
      </c>
      <c r="L42" s="26">
        <f t="shared" si="11"/>
        <v>30</v>
      </c>
      <c r="M42" s="24">
        <f t="shared" si="1"/>
        <v>31</v>
      </c>
      <c r="N42" s="25">
        <f t="shared" si="2"/>
        <v>8.4931506849315067E-2</v>
      </c>
      <c r="O42" s="27" t="s">
        <v>24</v>
      </c>
      <c r="P42" s="4" t="s">
        <v>24</v>
      </c>
      <c r="Q42" s="24">
        <f t="shared" si="13"/>
        <v>30.416666666666668</v>
      </c>
      <c r="R42" s="25">
        <f t="shared" si="3"/>
        <v>8.4490740740740741E-2</v>
      </c>
    </row>
    <row r="43" spans="1:18">
      <c r="A43" s="22">
        <v>39678</v>
      </c>
      <c r="B43" s="22">
        <v>42277</v>
      </c>
      <c r="C43" s="23">
        <f t="shared" si="4"/>
        <v>18</v>
      </c>
      <c r="D43" s="24">
        <f t="shared" si="5"/>
        <v>30</v>
      </c>
      <c r="E43" s="24">
        <f t="shared" si="0"/>
        <v>2563</v>
      </c>
      <c r="F43" s="25">
        <f t="shared" si="12"/>
        <v>7.1194444444444445</v>
      </c>
      <c r="G43" s="23">
        <f t="shared" si="6"/>
        <v>18</v>
      </c>
      <c r="H43" s="26">
        <f t="shared" si="7"/>
        <v>30</v>
      </c>
      <c r="I43" s="28">
        <f t="shared" si="8"/>
        <v>2563</v>
      </c>
      <c r="J43" s="25">
        <f t="shared" si="9"/>
        <v>7.1194444444444445</v>
      </c>
      <c r="K43" s="23">
        <f t="shared" si="10"/>
        <v>18</v>
      </c>
      <c r="L43" s="26">
        <f t="shared" si="11"/>
        <v>30</v>
      </c>
      <c r="M43" s="24">
        <f t="shared" si="1"/>
        <v>2563</v>
      </c>
      <c r="N43" s="25">
        <f t="shared" si="2"/>
        <v>7.021917808219178</v>
      </c>
      <c r="O43" s="27" t="s">
        <v>24</v>
      </c>
      <c r="P43" s="4" t="s">
        <v>24</v>
      </c>
      <c r="Q43" s="24">
        <f t="shared" si="13"/>
        <v>2585.4166666666665</v>
      </c>
      <c r="R43" s="25">
        <f t="shared" si="3"/>
        <v>7.1817129629629628</v>
      </c>
    </row>
    <row r="44" spans="1:18">
      <c r="A44" s="22">
        <v>39678</v>
      </c>
      <c r="B44" s="22">
        <v>43329</v>
      </c>
      <c r="C44" s="23">
        <f t="shared" si="4"/>
        <v>18</v>
      </c>
      <c r="D44" s="24">
        <f t="shared" si="5"/>
        <v>17</v>
      </c>
      <c r="E44" s="24">
        <f t="shared" si="0"/>
        <v>3600</v>
      </c>
      <c r="F44" s="25">
        <f t="shared" si="12"/>
        <v>10</v>
      </c>
      <c r="G44" s="23">
        <f t="shared" si="6"/>
        <v>18</v>
      </c>
      <c r="H44" s="26">
        <f t="shared" si="7"/>
        <v>17</v>
      </c>
      <c r="I44" s="28">
        <f t="shared" si="8"/>
        <v>3600</v>
      </c>
      <c r="J44" s="25">
        <f t="shared" si="9"/>
        <v>10</v>
      </c>
      <c r="K44" s="23">
        <f t="shared" si="10"/>
        <v>18</v>
      </c>
      <c r="L44" s="26">
        <f t="shared" si="11"/>
        <v>17</v>
      </c>
      <c r="M44" s="24">
        <f t="shared" si="1"/>
        <v>3600</v>
      </c>
      <c r="N44" s="25">
        <f t="shared" si="2"/>
        <v>9.8630136986301373</v>
      </c>
      <c r="O44" s="27" t="s">
        <v>24</v>
      </c>
      <c r="P44" s="4" t="s">
        <v>24</v>
      </c>
      <c r="Q44" s="24">
        <f t="shared" si="13"/>
        <v>3650</v>
      </c>
      <c r="R44" s="25">
        <f t="shared" si="3"/>
        <v>10.138888888888889</v>
      </c>
    </row>
    <row r="45" spans="1:18">
      <c r="A45" s="22">
        <v>39105</v>
      </c>
      <c r="B45" s="22">
        <v>39113</v>
      </c>
      <c r="C45" s="23">
        <f t="shared" si="4"/>
        <v>23</v>
      </c>
      <c r="D45" s="24">
        <f t="shared" si="5"/>
        <v>31</v>
      </c>
      <c r="E45" s="24">
        <f t="shared" si="0"/>
        <v>9</v>
      </c>
      <c r="F45" s="25">
        <f t="shared" si="12"/>
        <v>2.5000000000000001E-2</v>
      </c>
      <c r="G45" s="23">
        <f t="shared" si="6"/>
        <v>23</v>
      </c>
      <c r="H45" s="26">
        <f t="shared" si="7"/>
        <v>30</v>
      </c>
      <c r="I45" s="28">
        <f t="shared" si="8"/>
        <v>8</v>
      </c>
      <c r="J45" s="25">
        <f t="shared" si="9"/>
        <v>2.2222222222222223E-2</v>
      </c>
      <c r="K45" s="23">
        <f t="shared" si="10"/>
        <v>23</v>
      </c>
      <c r="L45" s="26">
        <f t="shared" si="11"/>
        <v>30</v>
      </c>
      <c r="M45" s="24">
        <f t="shared" si="1"/>
        <v>8</v>
      </c>
      <c r="N45" s="25">
        <f t="shared" si="2"/>
        <v>2.1917808219178082E-2</v>
      </c>
      <c r="O45" s="27" t="s">
        <v>24</v>
      </c>
      <c r="P45" s="4" t="s">
        <v>24</v>
      </c>
      <c r="Q45" s="24">
        <f t="shared" si="13"/>
        <v>0</v>
      </c>
      <c r="R45" s="25">
        <f t="shared" si="3"/>
        <v>0</v>
      </c>
    </row>
    <row r="46" spans="1:18">
      <c r="A46" s="22">
        <v>39105</v>
      </c>
      <c r="B46" s="22">
        <v>39278</v>
      </c>
      <c r="C46" s="23">
        <f t="shared" si="4"/>
        <v>23</v>
      </c>
      <c r="D46" s="24">
        <f t="shared" si="5"/>
        <v>15</v>
      </c>
      <c r="E46" s="24">
        <f t="shared" si="0"/>
        <v>173</v>
      </c>
      <c r="F46" s="25">
        <f t="shared" si="12"/>
        <v>0.48055555555555557</v>
      </c>
      <c r="G46" s="23">
        <f t="shared" si="6"/>
        <v>23</v>
      </c>
      <c r="H46" s="26">
        <f t="shared" si="7"/>
        <v>15</v>
      </c>
      <c r="I46" s="28">
        <f t="shared" si="8"/>
        <v>173</v>
      </c>
      <c r="J46" s="25">
        <f t="shared" si="9"/>
        <v>0.48055555555555557</v>
      </c>
      <c r="K46" s="23">
        <f t="shared" si="10"/>
        <v>23</v>
      </c>
      <c r="L46" s="26">
        <f t="shared" si="11"/>
        <v>15</v>
      </c>
      <c r="M46" s="24">
        <f t="shared" si="1"/>
        <v>173</v>
      </c>
      <c r="N46" s="25">
        <f t="shared" si="2"/>
        <v>0.47397260273972602</v>
      </c>
      <c r="O46" s="27" t="s">
        <v>24</v>
      </c>
      <c r="P46" s="4" t="s">
        <v>24</v>
      </c>
      <c r="Q46" s="24">
        <f t="shared" si="13"/>
        <v>182.5</v>
      </c>
      <c r="R46" s="25">
        <f t="shared" si="3"/>
        <v>0.50694444444444442</v>
      </c>
    </row>
    <row r="47" spans="1:18">
      <c r="A47" s="22">
        <v>39083</v>
      </c>
      <c r="B47" s="22">
        <v>39141</v>
      </c>
      <c r="C47" s="23">
        <f t="shared" si="4"/>
        <v>1</v>
      </c>
      <c r="D47" s="24">
        <f t="shared" si="5"/>
        <v>28</v>
      </c>
      <c r="E47" s="24">
        <f t="shared" si="0"/>
        <v>58</v>
      </c>
      <c r="F47" s="25">
        <f t="shared" si="12"/>
        <v>0.16111111111111112</v>
      </c>
      <c r="G47" s="23">
        <f t="shared" si="6"/>
        <v>1</v>
      </c>
      <c r="H47" s="26">
        <f t="shared" si="7"/>
        <v>28</v>
      </c>
      <c r="I47" s="28">
        <f t="shared" si="8"/>
        <v>58</v>
      </c>
      <c r="J47" s="25">
        <f t="shared" si="9"/>
        <v>0.16111111111111112</v>
      </c>
      <c r="K47" s="23">
        <f t="shared" si="10"/>
        <v>1</v>
      </c>
      <c r="L47" s="26">
        <f t="shared" si="11"/>
        <v>28</v>
      </c>
      <c r="M47" s="24">
        <f t="shared" si="1"/>
        <v>58</v>
      </c>
      <c r="N47" s="25">
        <f t="shared" si="2"/>
        <v>0.15890410958904111</v>
      </c>
      <c r="O47" s="27" t="s">
        <v>24</v>
      </c>
      <c r="P47" s="4" t="s">
        <v>24</v>
      </c>
      <c r="Q47" s="24">
        <f t="shared" si="13"/>
        <v>30.416666666666668</v>
      </c>
      <c r="R47" s="25">
        <f t="shared" si="3"/>
        <v>8.4490740740740741E-2</v>
      </c>
    </row>
    <row r="48" spans="1:18">
      <c r="A48" s="22">
        <v>39141</v>
      </c>
      <c r="B48" s="22">
        <v>39355</v>
      </c>
      <c r="C48" s="23">
        <f t="shared" si="4"/>
        <v>28</v>
      </c>
      <c r="D48" s="24">
        <f t="shared" si="5"/>
        <v>30</v>
      </c>
      <c r="E48" s="24">
        <f t="shared" si="0"/>
        <v>213</v>
      </c>
      <c r="F48" s="25">
        <f t="shared" si="12"/>
        <v>0.59166666666666667</v>
      </c>
      <c r="G48" s="23">
        <f t="shared" si="6"/>
        <v>28</v>
      </c>
      <c r="H48" s="26">
        <f t="shared" si="7"/>
        <v>30</v>
      </c>
      <c r="I48" s="28">
        <f t="shared" si="8"/>
        <v>213</v>
      </c>
      <c r="J48" s="25">
        <f t="shared" si="9"/>
        <v>0.59166666666666667</v>
      </c>
      <c r="K48" s="23">
        <f t="shared" si="10"/>
        <v>28</v>
      </c>
      <c r="L48" s="26">
        <f t="shared" si="11"/>
        <v>30</v>
      </c>
      <c r="M48" s="24">
        <f t="shared" si="1"/>
        <v>213</v>
      </c>
      <c r="N48" s="25">
        <f t="shared" si="2"/>
        <v>0.58356164383561648</v>
      </c>
      <c r="O48" s="27" t="s">
        <v>24</v>
      </c>
      <c r="P48" s="4" t="s">
        <v>24</v>
      </c>
      <c r="Q48" s="24">
        <f t="shared" si="13"/>
        <v>212.91666666666666</v>
      </c>
      <c r="R48" s="25">
        <f t="shared" si="3"/>
        <v>0.59143518518518512</v>
      </c>
    </row>
    <row r="49" spans="1:18">
      <c r="A49" s="22">
        <v>39448</v>
      </c>
      <c r="B49" s="22">
        <v>39507</v>
      </c>
      <c r="C49" s="23">
        <f t="shared" si="4"/>
        <v>1</v>
      </c>
      <c r="D49" s="24">
        <f t="shared" si="5"/>
        <v>29</v>
      </c>
      <c r="E49" s="24">
        <f t="shared" si="0"/>
        <v>59</v>
      </c>
      <c r="F49" s="25">
        <f t="shared" si="12"/>
        <v>0.16388888888888889</v>
      </c>
      <c r="G49" s="23">
        <f t="shared" si="6"/>
        <v>1</v>
      </c>
      <c r="H49" s="26">
        <f t="shared" si="7"/>
        <v>29</v>
      </c>
      <c r="I49" s="28">
        <f t="shared" si="8"/>
        <v>59</v>
      </c>
      <c r="J49" s="25">
        <f t="shared" si="9"/>
        <v>0.16388888888888889</v>
      </c>
      <c r="K49" s="23">
        <f t="shared" si="10"/>
        <v>1</v>
      </c>
      <c r="L49" s="26">
        <f t="shared" si="11"/>
        <v>29</v>
      </c>
      <c r="M49" s="24">
        <f t="shared" si="1"/>
        <v>59</v>
      </c>
      <c r="N49" s="25">
        <f t="shared" si="2"/>
        <v>0.16164383561643836</v>
      </c>
      <c r="O49" s="27" t="s">
        <v>24</v>
      </c>
      <c r="P49" s="4" t="s">
        <v>24</v>
      </c>
      <c r="Q49" s="24">
        <f t="shared" si="13"/>
        <v>30.416666666666668</v>
      </c>
      <c r="R49" s="25">
        <f t="shared" si="3"/>
        <v>8.4490740740740741E-2</v>
      </c>
    </row>
    <row r="50" spans="1:18">
      <c r="A50" s="22">
        <v>39507</v>
      </c>
      <c r="B50" s="22">
        <v>39721</v>
      </c>
      <c r="C50" s="23">
        <f t="shared" si="4"/>
        <v>29</v>
      </c>
      <c r="D50" s="24">
        <f t="shared" si="5"/>
        <v>30</v>
      </c>
      <c r="E50" s="24">
        <f t="shared" si="0"/>
        <v>212</v>
      </c>
      <c r="F50" s="25">
        <f t="shared" si="12"/>
        <v>0.58888888888888891</v>
      </c>
      <c r="G50" s="23">
        <f t="shared" si="6"/>
        <v>29</v>
      </c>
      <c r="H50" s="26">
        <f t="shared" si="7"/>
        <v>30</v>
      </c>
      <c r="I50" s="28">
        <f t="shared" si="8"/>
        <v>212</v>
      </c>
      <c r="J50" s="25">
        <f t="shared" si="9"/>
        <v>0.58888888888888891</v>
      </c>
      <c r="K50" s="23">
        <f t="shared" si="10"/>
        <v>29</v>
      </c>
      <c r="L50" s="26">
        <f t="shared" si="11"/>
        <v>30</v>
      </c>
      <c r="M50" s="24">
        <f t="shared" si="1"/>
        <v>212</v>
      </c>
      <c r="N50" s="25">
        <f t="shared" si="2"/>
        <v>0.58082191780821912</v>
      </c>
      <c r="O50" s="27" t="s">
        <v>24</v>
      </c>
      <c r="P50" s="4" t="s">
        <v>24</v>
      </c>
      <c r="Q50" s="24">
        <f t="shared" si="13"/>
        <v>212.91666666666666</v>
      </c>
      <c r="R50" s="25">
        <f t="shared" si="3"/>
        <v>0.59143518518518512</v>
      </c>
    </row>
    <row r="51" spans="1:18">
      <c r="A51" s="22">
        <v>39232</v>
      </c>
      <c r="B51" s="22">
        <v>39324</v>
      </c>
      <c r="C51" s="23">
        <f t="shared" si="4"/>
        <v>30</v>
      </c>
      <c r="D51" s="24">
        <f t="shared" si="5"/>
        <v>30</v>
      </c>
      <c r="E51" s="24">
        <f t="shared" si="0"/>
        <v>91</v>
      </c>
      <c r="F51" s="25">
        <f t="shared" si="12"/>
        <v>0.25277777777777777</v>
      </c>
      <c r="G51" s="23">
        <f t="shared" si="6"/>
        <v>30</v>
      </c>
      <c r="H51" s="26">
        <f t="shared" si="7"/>
        <v>30</v>
      </c>
      <c r="I51" s="24">
        <f t="shared" si="8"/>
        <v>91</v>
      </c>
      <c r="J51" s="25">
        <f t="shared" si="9"/>
        <v>0.25277777777777777</v>
      </c>
      <c r="K51" s="23">
        <f t="shared" si="10"/>
        <v>30</v>
      </c>
      <c r="L51" s="26">
        <f t="shared" si="11"/>
        <v>30</v>
      </c>
      <c r="M51" s="24">
        <f t="shared" si="1"/>
        <v>91</v>
      </c>
      <c r="N51" s="25">
        <f t="shared" si="2"/>
        <v>0.24931506849315069</v>
      </c>
      <c r="O51" s="27" t="s">
        <v>24</v>
      </c>
      <c r="P51" s="4" t="s">
        <v>24</v>
      </c>
      <c r="Q51" s="24">
        <f t="shared" si="13"/>
        <v>91.25</v>
      </c>
      <c r="R51" s="25">
        <f t="shared" si="3"/>
        <v>0.25347222222222221</v>
      </c>
    </row>
    <row r="52" spans="1:18">
      <c r="A52" s="22">
        <v>39233</v>
      </c>
      <c r="B52" s="22">
        <v>39325</v>
      </c>
      <c r="C52" s="23">
        <f t="shared" si="4"/>
        <v>30</v>
      </c>
      <c r="D52" s="24">
        <f t="shared" si="5"/>
        <v>30</v>
      </c>
      <c r="E52" s="24">
        <f t="shared" si="0"/>
        <v>91</v>
      </c>
      <c r="F52" s="25">
        <f t="shared" si="12"/>
        <v>0.25277777777777777</v>
      </c>
      <c r="G52" s="23">
        <f t="shared" si="6"/>
        <v>30</v>
      </c>
      <c r="H52" s="26">
        <f t="shared" si="7"/>
        <v>30</v>
      </c>
      <c r="I52" s="24">
        <f t="shared" si="8"/>
        <v>91</v>
      </c>
      <c r="J52" s="25">
        <f t="shared" si="9"/>
        <v>0.25277777777777777</v>
      </c>
      <c r="K52" s="23">
        <f t="shared" si="10"/>
        <v>30</v>
      </c>
      <c r="L52" s="26">
        <f t="shared" si="11"/>
        <v>30</v>
      </c>
      <c r="M52" s="24">
        <f t="shared" si="1"/>
        <v>91</v>
      </c>
      <c r="N52" s="25">
        <f t="shared" si="2"/>
        <v>0.24931506849315069</v>
      </c>
      <c r="O52" s="27" t="s">
        <v>24</v>
      </c>
      <c r="P52" s="4" t="s">
        <v>24</v>
      </c>
      <c r="Q52" s="24">
        <f t="shared" si="13"/>
        <v>91.25</v>
      </c>
      <c r="R52" s="25">
        <f t="shared" si="3"/>
        <v>0.25347222222222221</v>
      </c>
    </row>
    <row r="53" spans="1:18">
      <c r="A53" s="22">
        <v>39590</v>
      </c>
      <c r="B53" s="22">
        <v>39599</v>
      </c>
      <c r="C53" s="23">
        <f t="shared" si="4"/>
        <v>22</v>
      </c>
      <c r="D53" s="24">
        <f t="shared" si="5"/>
        <v>31</v>
      </c>
      <c r="E53" s="24">
        <f t="shared" si="0"/>
        <v>10</v>
      </c>
      <c r="F53" s="25">
        <f t="shared" si="12"/>
        <v>2.7777777777777776E-2</v>
      </c>
      <c r="G53" s="23">
        <f t="shared" si="6"/>
        <v>22</v>
      </c>
      <c r="H53" s="26">
        <f t="shared" si="7"/>
        <v>30</v>
      </c>
      <c r="I53" s="24">
        <f t="shared" si="8"/>
        <v>9</v>
      </c>
      <c r="J53" s="25">
        <f t="shared" si="9"/>
        <v>2.5000000000000001E-2</v>
      </c>
      <c r="K53" s="23">
        <f t="shared" si="10"/>
        <v>22</v>
      </c>
      <c r="L53" s="26">
        <f t="shared" si="11"/>
        <v>30</v>
      </c>
      <c r="M53" s="24">
        <f t="shared" si="1"/>
        <v>9</v>
      </c>
      <c r="N53" s="25">
        <f t="shared" si="2"/>
        <v>2.4657534246575342E-2</v>
      </c>
      <c r="O53" s="27" t="s">
        <v>24</v>
      </c>
      <c r="P53" s="4" t="s">
        <v>24</v>
      </c>
      <c r="Q53" s="24">
        <f t="shared" si="13"/>
        <v>0</v>
      </c>
      <c r="R53" s="25">
        <f t="shared" si="3"/>
        <v>0</v>
      </c>
    </row>
    <row r="54" spans="1:18" ht="13.5" thickBot="1">
      <c r="A54" s="22">
        <v>39590</v>
      </c>
      <c r="B54" s="22">
        <v>39955</v>
      </c>
      <c r="C54" s="29">
        <f t="shared" si="4"/>
        <v>22</v>
      </c>
      <c r="D54" s="30">
        <f t="shared" si="5"/>
        <v>22</v>
      </c>
      <c r="E54" s="30">
        <f t="shared" si="0"/>
        <v>361</v>
      </c>
      <c r="F54" s="31">
        <f t="shared" si="12"/>
        <v>1.0027777777777778</v>
      </c>
      <c r="G54" s="29">
        <f t="shared" si="6"/>
        <v>22</v>
      </c>
      <c r="H54" s="32">
        <f t="shared" si="7"/>
        <v>22</v>
      </c>
      <c r="I54" s="30">
        <f>((YEAR(B54)-YEAR(A54))*360+((MONTH(B54)-MONTH(A54))*30+(H54-G54)))+1</f>
        <v>361</v>
      </c>
      <c r="J54" s="31">
        <f t="shared" si="9"/>
        <v>1.0027777777777778</v>
      </c>
      <c r="K54" s="29">
        <f t="shared" si="10"/>
        <v>22</v>
      </c>
      <c r="L54" s="32">
        <f t="shared" si="11"/>
        <v>22</v>
      </c>
      <c r="M54" s="30">
        <f t="shared" si="1"/>
        <v>361</v>
      </c>
      <c r="N54" s="31">
        <f t="shared" si="2"/>
        <v>0.989041095890411</v>
      </c>
      <c r="O54" s="27" t="s">
        <v>24</v>
      </c>
      <c r="P54" s="4" t="s">
        <v>24</v>
      </c>
      <c r="Q54" s="24">
        <f t="shared" si="13"/>
        <v>365</v>
      </c>
      <c r="R54" s="25">
        <f>Q54/360</f>
        <v>1.0138888888888888</v>
      </c>
    </row>
    <row r="55" spans="1:18" ht="13.5" thickBot="1">
      <c r="O55" s="33"/>
      <c r="P55" s="34"/>
      <c r="Q55" s="34"/>
      <c r="R55" s="35"/>
    </row>
    <row r="70" spans="2:3">
      <c r="B70" s="36">
        <v>39872</v>
      </c>
      <c r="C70" s="37" t="s">
        <v>25</v>
      </c>
    </row>
  </sheetData>
  <mergeCells count="10">
    <mergeCell ref="C14:J14"/>
    <mergeCell ref="C15:F15"/>
    <mergeCell ref="G15:J15"/>
    <mergeCell ref="K15:N15"/>
    <mergeCell ref="O15:R15"/>
    <mergeCell ref="A16:B16"/>
    <mergeCell ref="C16:F16"/>
    <mergeCell ref="G16:J16"/>
    <mergeCell ref="K16:N16"/>
    <mergeCell ref="O16:R16"/>
  </mergeCells>
  <pageMargins left="0.75" right="0.75" top="1" bottom="1" header="0.5" footer="0.5"/>
  <headerFooter alignWithMargin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4DayBasis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2010-05-04T21:34:28Z</dcterms:created>
  <dcterms:modified xsi:type="dcterms:W3CDTF">2010-05-04T21:35:21Z</dcterms:modified>
</cp:coreProperties>
</file>