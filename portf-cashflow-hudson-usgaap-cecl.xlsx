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dsonSeniorNotes" sheetId="1" state="visible" r:id="rId1"/>
    <sheet xmlns:r="http://schemas.openxmlformats.org/officeDocument/2006/relationships" name="CECL_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%"/>
  </numFmts>
  <fonts count="7">
    <font>
      <name val="Calibri"/>
      <family val="2"/>
      <color theme="1"/>
      <sz val="11"/>
      <scheme val="minor"/>
    </font>
    <font>
      <name val="Calibri"/>
      <b val="1"/>
      <color rgb="001F2A44"/>
      <sz val="10"/>
    </font>
    <font>
      <name val="Calibri"/>
      <color rgb="001A1F36"/>
      <sz val="10"/>
    </font>
    <font>
      <name val="Calibri"/>
      <b val="1"/>
      <color rgb="00065A82"/>
      <sz val="10"/>
    </font>
    <font>
      <name val="Calibri"/>
      <b val="1"/>
      <color rgb="00FFFFFF"/>
      <sz val="9"/>
    </font>
    <font>
      <name val="Calibri"/>
      <color rgb="001A1F36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EEF6FA"/>
      </patternFill>
    </fill>
    <fill>
      <patternFill patternType="solid">
        <fgColor rgb="001C7293"/>
      </patternFill>
    </fill>
    <fill>
      <patternFill patternType="solid">
        <fgColor rgb="0021295C"/>
      </patternFill>
    </fill>
  </fills>
  <borders count="2">
    <border>
      <left/>
      <right/>
      <top/>
      <bottom/>
      <diagonal/>
    </border>
    <border>
      <left style="thin">
        <color rgb="00D4DAE3"/>
      </left>
      <right style="thin">
        <color rgb="00D4DAE3"/>
      </right>
      <top style="thin">
        <color rgb="00D4DAE3"/>
      </top>
      <bottom style="thin">
        <color rgb="00D4DAE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left" vertical="center"/>
    </xf>
    <xf numFmtId="4" fontId="2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8" customWidth="1" min="4" max="4"/>
    <col width="10" customWidth="1" min="5" max="5"/>
    <col width="16" customWidth="1" min="6" max="6"/>
    <col width="14" customWidth="1" min="7" max="7"/>
    <col width="9" customWidth="1" min="8" max="8"/>
    <col width="14" customWidth="1" min="9" max="9"/>
    <col width="9" customWidth="1" min="10" max="10"/>
    <col width="14" customWidth="1" min="11" max="11"/>
  </cols>
  <sheetData>
    <row r="1">
      <c r="A1" s="1" t="inlineStr">
        <is>
          <t>Company</t>
        </is>
      </c>
      <c r="B1" s="2" t="inlineStr">
        <is>
          <t>Hudson Manufacturing Senior Notes</t>
        </is>
      </c>
      <c r="H1" s="3" t="inlineStr">
        <is>
          <t>Underlying Debt (5.75% USD Fixed)</t>
        </is>
      </c>
      <c r="J1" s="3" t="inlineStr">
        <is>
          <t>Origination Fee (ASC 310-20)</t>
        </is>
      </c>
    </row>
    <row r="2">
      <c r="A2" s="1" t="inlineStr">
        <is>
          <t>Debt Type</t>
        </is>
      </c>
      <c r="B2" s="2" t="inlineStr">
        <is>
          <t>Loan</t>
        </is>
      </c>
      <c r="H2" s="2" t="inlineStr">
        <is>
          <t>Interest</t>
        </is>
      </c>
      <c r="J2" s="2" t="inlineStr">
        <is>
          <t>Fee</t>
        </is>
      </c>
    </row>
    <row r="3">
      <c r="A3" s="1" t="inlineStr">
        <is>
          <t>Accounting Framework</t>
        </is>
      </c>
      <c r="B3" s="2" t="inlineStr">
        <is>
          <t>US GAAP</t>
        </is>
      </c>
      <c r="H3" s="2" t="inlineStr">
        <is>
          <t>Principal Balance</t>
        </is>
      </c>
      <c r="J3" s="2" t="inlineStr">
        <is>
          <t>Commitment Balance</t>
        </is>
      </c>
    </row>
    <row r="4">
      <c r="A4" s="1" t="inlineStr">
        <is>
          <t>Loan Start Date</t>
        </is>
      </c>
      <c r="B4" s="4" t="n">
        <v>46174</v>
      </c>
      <c r="H4" s="2" t="inlineStr">
        <is>
          <t>Fixed</t>
        </is>
      </c>
      <c r="J4" s="2" t="inlineStr">
        <is>
          <t>Fixed</t>
        </is>
      </c>
    </row>
    <row r="5">
      <c r="A5" s="1" t="inlineStr">
        <is>
          <t>Loan End Date</t>
        </is>
      </c>
      <c r="B5" s="4" t="n">
        <v>48000</v>
      </c>
      <c r="H5" s="5" t="n">
        <v>0.0575</v>
      </c>
      <c r="J5" s="5" t="n">
        <v>0.0075</v>
      </c>
    </row>
    <row r="6">
      <c r="A6" s="1" t="inlineStr">
        <is>
          <t>Day Count Convention</t>
        </is>
      </c>
      <c r="B6" s="2" t="inlineStr">
        <is>
          <t>ACT/360</t>
        </is>
      </c>
      <c r="H6" s="2" t="inlineStr">
        <is>
          <t>Daily</t>
        </is>
      </c>
      <c r="J6" s="2" t="inlineStr">
        <is>
          <t>One-off</t>
        </is>
      </c>
    </row>
    <row r="7">
      <c r="A7" s="1" t="inlineStr">
        <is>
          <t>Interest Accrues</t>
        </is>
      </c>
      <c r="B7" s="2" t="inlineStr">
        <is>
          <t>Same day</t>
        </is>
      </c>
      <c r="H7" s="2" t="inlineStr">
        <is>
          <t>Semi-annually</t>
        </is>
      </c>
      <c r="J7" s="2" t="inlineStr">
        <is>
          <t>One-off</t>
        </is>
      </c>
    </row>
    <row r="8">
      <c r="A8" s="1" t="inlineStr">
        <is>
          <t>Total Commitment</t>
        </is>
      </c>
      <c r="B8" s="6" t="n">
        <v>40000000</v>
      </c>
      <c r="H8" s="2" t="inlineStr">
        <is>
          <t>Cash</t>
        </is>
      </c>
      <c r="J8" s="2" t="inlineStr">
        <is>
          <t>Cash</t>
        </is>
      </c>
    </row>
    <row r="9">
      <c r="A9" s="1" t="inlineStr">
        <is>
          <t>Currency</t>
        </is>
      </c>
      <c r="B9" s="2" t="inlineStr">
        <is>
          <t>USD</t>
        </is>
      </c>
      <c r="H9" s="4" t="n">
        <v>46357</v>
      </c>
      <c r="J9" s="4" t="n">
        <v>46174</v>
      </c>
    </row>
    <row r="10">
      <c r="A10" s="1" t="inlineStr">
        <is>
          <t>Legal Entity</t>
        </is>
      </c>
      <c r="B10" s="2" t="inlineStr">
        <is>
          <t>NWF North America Credit</t>
        </is>
      </c>
    </row>
    <row r="11">
      <c r="A11" s="1" t="inlineStr">
        <is>
          <t>LEID</t>
        </is>
      </c>
      <c r="B11" s="6" t="n">
        <v>47</v>
      </c>
      <c r="F11" s="1" t="inlineStr">
        <is>
          <t>Balance Basis</t>
        </is>
      </c>
      <c r="G11" s="1" t="inlineStr">
        <is>
          <t>Balance Basis</t>
        </is>
      </c>
      <c r="H11" s="1" t="inlineStr">
        <is>
          <t>Underlying Debt</t>
        </is>
      </c>
      <c r="J11" s="1" t="inlineStr">
        <is>
          <t>Origination Fee</t>
        </is>
      </c>
    </row>
    <row r="12">
      <c r="A12" s="1" t="inlineStr">
        <is>
          <t>Position</t>
        </is>
      </c>
      <c r="B12" s="2" t="inlineStr">
        <is>
          <t>NWF 100% Bilateral Position · Hudson Manufacturing</t>
        </is>
      </c>
      <c r="F12" s="2" t="inlineStr">
        <is>
          <t>Principal Balance</t>
        </is>
      </c>
      <c r="G12" s="2" t="inlineStr">
        <is>
          <t>Unfunded Balance</t>
        </is>
      </c>
    </row>
    <row r="13">
      <c r="A13" s="1" t="inlineStr">
        <is>
          <t>Position ID</t>
        </is>
      </c>
      <c r="B13" s="2" t="inlineStr">
        <is>
          <t>POS-NWF-HUDSON-USG</t>
        </is>
      </c>
    </row>
    <row r="14">
      <c r="A14" s="1" t="inlineStr">
        <is>
          <t>Income Security</t>
        </is>
      </c>
      <c r="B14" s="2" t="inlineStr">
        <is>
          <t>Hudson Manufacturing Senior Secured Notes (USD 40m, 5.75% fixed, US GAAP / CECL)</t>
        </is>
      </c>
    </row>
    <row r="15">
      <c r="A15" s="1" t="inlineStr">
        <is>
          <t>Security ID</t>
        </is>
      </c>
      <c r="B15" s="2" t="inlineStr">
        <is>
          <t>SEC-HUDSON-MFG-USG</t>
        </is>
      </c>
    </row>
    <row r="16">
      <c r="A16" s="1" t="inlineStr">
        <is>
          <t>Counterparty</t>
        </is>
      </c>
      <c r="B16" s="2" t="inlineStr">
        <is>
          <t>Hudson Manufacturing Inc.</t>
        </is>
      </c>
    </row>
    <row r="17">
      <c r="A17" s="7" t="inlineStr">
        <is>
          <t>Date</t>
        </is>
      </c>
      <c r="B17" s="7" t="inlineStr">
        <is>
          <t>Initial Purchase</t>
        </is>
      </c>
      <c r="C17" s="7" t="inlineStr">
        <is>
          <t>Drawdown</t>
        </is>
      </c>
      <c r="D17" s="7" t="inlineStr">
        <is>
          <t>Principal Payment</t>
        </is>
      </c>
      <c r="E17" s="7" t="inlineStr">
        <is>
          <t>Day count</t>
        </is>
      </c>
      <c r="F17" s="7" t="inlineStr">
        <is>
          <t>Amount</t>
        </is>
      </c>
      <c r="G17" s="7" t="inlineStr">
        <is>
          <t>Amount</t>
        </is>
      </c>
      <c r="H17" s="7" t="inlineStr">
        <is>
          <t>Rate</t>
        </is>
      </c>
      <c r="I17" s="7" t="inlineStr">
        <is>
          <t>Amount</t>
        </is>
      </c>
      <c r="J17" s="7" t="inlineStr">
        <is>
          <t>Rate</t>
        </is>
      </c>
      <c r="K17" s="7" t="inlineStr">
        <is>
          <t>Amount</t>
        </is>
      </c>
    </row>
    <row r="18">
      <c r="A18" s="8" t="n">
        <v>46174</v>
      </c>
      <c r="B18" s="9" t="n">
        <v>0</v>
      </c>
      <c r="C18" s="9" t="n">
        <v>-40000000</v>
      </c>
      <c r="D18" s="9" t="n">
        <v>0</v>
      </c>
      <c r="E18" s="10" t="n">
        <v>0</v>
      </c>
      <c r="F18" s="9" t="n">
        <v>40000000</v>
      </c>
      <c r="G18" s="9" t="n">
        <v>0</v>
      </c>
      <c r="H18" s="9" t="n">
        <v>0.0575</v>
      </c>
      <c r="I18" s="9" t="n">
        <v>0</v>
      </c>
      <c r="J18" s="9" t="n">
        <v>0.0075</v>
      </c>
      <c r="K18" s="9" t="n">
        <v>300000</v>
      </c>
    </row>
    <row r="19">
      <c r="A19" s="8" t="n">
        <v>46357</v>
      </c>
      <c r="B19" s="9" t="n">
        <v>0</v>
      </c>
      <c r="C19" s="9" t="n">
        <v>0</v>
      </c>
      <c r="D19" s="9" t="n">
        <v>0</v>
      </c>
      <c r="E19" s="10" t="n">
        <v>183</v>
      </c>
      <c r="F19" s="9" t="n">
        <v>40000000</v>
      </c>
      <c r="G19" s="9" t="n">
        <v>0</v>
      </c>
      <c r="H19" s="9" t="n">
        <v>0.0575</v>
      </c>
      <c r="I19" s="9" t="n">
        <v>1169166.67</v>
      </c>
      <c r="J19" s="9" t="n">
        <v>0</v>
      </c>
      <c r="K19" s="9" t="n">
        <v>0</v>
      </c>
    </row>
    <row r="20">
      <c r="A20" s="8" t="n">
        <v>46539</v>
      </c>
      <c r="B20" s="9" t="n">
        <v>0</v>
      </c>
      <c r="C20" s="9" t="n">
        <v>0</v>
      </c>
      <c r="D20" s="9" t="n">
        <v>0</v>
      </c>
      <c r="E20" s="10" t="n">
        <v>182</v>
      </c>
      <c r="F20" s="9" t="n">
        <v>40000000</v>
      </c>
      <c r="G20" s="9" t="n">
        <v>0</v>
      </c>
      <c r="H20" s="9" t="n">
        <v>0.0575</v>
      </c>
      <c r="I20" s="9" t="n">
        <v>1162777.78</v>
      </c>
      <c r="J20" s="9" t="n">
        <v>0</v>
      </c>
      <c r="K20" s="9" t="n">
        <v>0</v>
      </c>
    </row>
    <row r="21">
      <c r="A21" s="8" t="n">
        <v>46722</v>
      </c>
      <c r="B21" s="9" t="n">
        <v>0</v>
      </c>
      <c r="C21" s="9" t="n">
        <v>0</v>
      </c>
      <c r="D21" s="9" t="n">
        <v>0</v>
      </c>
      <c r="E21" s="10" t="n">
        <v>183</v>
      </c>
      <c r="F21" s="9" t="n">
        <v>40000000</v>
      </c>
      <c r="G21" s="9" t="n">
        <v>0</v>
      </c>
      <c r="H21" s="9" t="n">
        <v>0.0575</v>
      </c>
      <c r="I21" s="9" t="n">
        <v>1169166.67</v>
      </c>
      <c r="J21" s="9" t="n">
        <v>0</v>
      </c>
      <c r="K21" s="9" t="n">
        <v>0</v>
      </c>
    </row>
    <row r="22">
      <c r="A22" s="8" t="n">
        <v>46905</v>
      </c>
      <c r="B22" s="9" t="n">
        <v>0</v>
      </c>
      <c r="C22" s="9" t="n">
        <v>0</v>
      </c>
      <c r="D22" s="9" t="n">
        <v>0</v>
      </c>
      <c r="E22" s="10" t="n">
        <v>183</v>
      </c>
      <c r="F22" s="9" t="n">
        <v>40000000</v>
      </c>
      <c r="G22" s="9" t="n">
        <v>0</v>
      </c>
      <c r="H22" s="9" t="n">
        <v>0.0575</v>
      </c>
      <c r="I22" s="9" t="n">
        <v>1169166.67</v>
      </c>
      <c r="J22" s="9" t="n">
        <v>0</v>
      </c>
      <c r="K22" s="9" t="n">
        <v>0</v>
      </c>
    </row>
    <row r="23">
      <c r="A23" s="8" t="n">
        <v>47088</v>
      </c>
      <c r="B23" s="9" t="n">
        <v>0</v>
      </c>
      <c r="C23" s="9" t="n">
        <v>0</v>
      </c>
      <c r="D23" s="9" t="n">
        <v>0</v>
      </c>
      <c r="E23" s="10" t="n">
        <v>183</v>
      </c>
      <c r="F23" s="9" t="n">
        <v>40000000</v>
      </c>
      <c r="G23" s="9" t="n">
        <v>0</v>
      </c>
      <c r="H23" s="9" t="n">
        <v>0.0575</v>
      </c>
      <c r="I23" s="9" t="n">
        <v>1169166.67</v>
      </c>
      <c r="J23" s="9" t="n">
        <v>0</v>
      </c>
      <c r="K23" s="9" t="n">
        <v>0</v>
      </c>
    </row>
    <row r="24">
      <c r="A24" s="8" t="n">
        <v>47270</v>
      </c>
      <c r="B24" s="9" t="n">
        <v>0</v>
      </c>
      <c r="C24" s="9" t="n">
        <v>0</v>
      </c>
      <c r="D24" s="9" t="n">
        <v>0</v>
      </c>
      <c r="E24" s="10" t="n">
        <v>182</v>
      </c>
      <c r="F24" s="9" t="n">
        <v>40000000</v>
      </c>
      <c r="G24" s="9" t="n">
        <v>0</v>
      </c>
      <c r="H24" s="9" t="n">
        <v>0.0575</v>
      </c>
      <c r="I24" s="9" t="n">
        <v>1162777.78</v>
      </c>
      <c r="J24" s="9" t="n">
        <v>0</v>
      </c>
      <c r="K24" s="9" t="n">
        <v>0</v>
      </c>
    </row>
    <row r="25">
      <c r="A25" s="8" t="n">
        <v>47453</v>
      </c>
      <c r="B25" s="9" t="n">
        <v>0</v>
      </c>
      <c r="C25" s="9" t="n">
        <v>0</v>
      </c>
      <c r="D25" s="9" t="n">
        <v>0</v>
      </c>
      <c r="E25" s="10" t="n">
        <v>183</v>
      </c>
      <c r="F25" s="9" t="n">
        <v>40000000</v>
      </c>
      <c r="G25" s="9" t="n">
        <v>0</v>
      </c>
      <c r="H25" s="9" t="n">
        <v>0.0575</v>
      </c>
      <c r="I25" s="9" t="n">
        <v>1169166.67</v>
      </c>
      <c r="J25" s="9" t="n">
        <v>0</v>
      </c>
      <c r="K25" s="9" t="n">
        <v>0</v>
      </c>
    </row>
    <row r="26">
      <c r="A26" s="8" t="n">
        <v>47635</v>
      </c>
      <c r="B26" s="9" t="n">
        <v>0</v>
      </c>
      <c r="C26" s="9" t="n">
        <v>0</v>
      </c>
      <c r="D26" s="9" t="n">
        <v>0</v>
      </c>
      <c r="E26" s="10" t="n">
        <v>182</v>
      </c>
      <c r="F26" s="9" t="n">
        <v>40000000</v>
      </c>
      <c r="G26" s="9" t="n">
        <v>0</v>
      </c>
      <c r="H26" s="9" t="n">
        <v>0.0575</v>
      </c>
      <c r="I26" s="9" t="n">
        <v>1162777.78</v>
      </c>
      <c r="J26" s="9" t="n">
        <v>0</v>
      </c>
      <c r="K26" s="9" t="n">
        <v>0</v>
      </c>
    </row>
    <row r="27">
      <c r="A27" s="8" t="n">
        <v>47818</v>
      </c>
      <c r="B27" s="9" t="n">
        <v>0</v>
      </c>
      <c r="C27" s="9" t="n">
        <v>0</v>
      </c>
      <c r="D27" s="9" t="n">
        <v>0</v>
      </c>
      <c r="E27" s="10" t="n">
        <v>183</v>
      </c>
      <c r="F27" s="9" t="n">
        <v>40000000</v>
      </c>
      <c r="G27" s="9" t="n">
        <v>0</v>
      </c>
      <c r="H27" s="9" t="n">
        <v>0.0575</v>
      </c>
      <c r="I27" s="9" t="n">
        <v>1169166.67</v>
      </c>
      <c r="J27" s="9" t="n">
        <v>0</v>
      </c>
      <c r="K27" s="9" t="n">
        <v>0</v>
      </c>
    </row>
    <row r="28">
      <c r="A28" s="8" t="n">
        <v>48000</v>
      </c>
      <c r="B28" s="9" t="n">
        <v>0</v>
      </c>
      <c r="C28" s="9" t="n">
        <v>0</v>
      </c>
      <c r="D28" s="9" t="n">
        <v>40000000</v>
      </c>
      <c r="E28" s="10" t="n">
        <v>182</v>
      </c>
      <c r="F28" s="9" t="n">
        <v>0</v>
      </c>
      <c r="G28" s="9" t="n">
        <v>0</v>
      </c>
      <c r="H28" s="9" t="n">
        <v>0.0575</v>
      </c>
      <c r="I28" s="9" t="n">
        <v>1162777.78</v>
      </c>
      <c r="J28" s="9" t="n">
        <v>0</v>
      </c>
      <c r="K28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56" customWidth="1" min="3" max="3"/>
  </cols>
  <sheetData>
    <row r="1">
      <c r="A1" s="11" t="inlineStr">
        <is>
          <t>Input</t>
        </is>
      </c>
      <c r="B1" s="11" t="inlineStr">
        <is>
          <t>Value</t>
        </is>
      </c>
      <c r="C1" s="11" t="inlineStr">
        <is>
          <t>Reference</t>
        </is>
      </c>
    </row>
    <row r="2">
      <c r="A2" s="12" t="inlineStr">
        <is>
          <t>PD (annual)</t>
        </is>
      </c>
      <c r="B2" s="12" t="inlineStr">
        <is>
          <t>0.60%</t>
        </is>
      </c>
      <c r="C2" s="12" t="inlineStr">
        <is>
          <t>ASC 326-20-30-8 · external rating / internal model</t>
        </is>
      </c>
    </row>
    <row r="3">
      <c r="A3" s="12" t="inlineStr">
        <is>
          <t>LGD</t>
        </is>
      </c>
      <c r="B3" s="12" t="inlineStr">
        <is>
          <t>35.00%</t>
        </is>
      </c>
      <c r="C3" s="12" t="inlineStr">
        <is>
          <t>ASC 326-20-30-9 · historical loss experience</t>
        </is>
      </c>
    </row>
    <row r="4">
      <c r="A4" s="12" t="inlineStr">
        <is>
          <t>EAD</t>
        </is>
      </c>
      <c r="B4" s="12" t="inlineStr">
        <is>
          <t>$40,000,000 (face)</t>
        </is>
      </c>
      <c r="C4" s="12" t="inlineStr">
        <is>
          <t>Drawn balance at recognition</t>
        </is>
      </c>
    </row>
    <row r="5">
      <c r="A5" s="12" t="inlineStr">
        <is>
          <t>Q-factor (qualitative)</t>
        </is>
      </c>
      <c r="B5" s="12" t="inlineStr">
        <is>
          <t>1.10 (10% overlay)</t>
        </is>
      </c>
      <c r="C5" s="12" t="inlineStr">
        <is>
          <t>ASC 326-20-55-5 · forward-looking macro</t>
        </is>
      </c>
    </row>
    <row r="6">
      <c r="A6" s="12" t="inlineStr">
        <is>
          <t>Life</t>
        </is>
      </c>
      <c r="B6" s="12" t="inlineStr">
        <is>
          <t>5.00 years</t>
        </is>
      </c>
      <c r="C6" s="12" t="inlineStr">
        <is>
          <t>Contractual term</t>
        </is>
      </c>
    </row>
    <row r="7">
      <c r="A7" s="12" t="inlineStr">
        <is>
          <t>Lifetime PD</t>
        </is>
      </c>
      <c r="B7" s="12" t="inlineStr">
        <is>
          <t>2.96%</t>
        </is>
      </c>
      <c r="C7" s="12">
        <f> 1 - (1 - 0.60%)^5 (cumulative)</f>
        <v/>
      </c>
    </row>
    <row r="8">
      <c r="A8" s="12" t="inlineStr">
        <is>
          <t>Lifetime ECL</t>
        </is>
      </c>
      <c r="B8" s="12" t="inlineStr">
        <is>
          <t>~$455,840</t>
        </is>
      </c>
      <c r="C8" s="12">
        <f> lifetime_PD × LGD × EAD × Q-factor</f>
        <v/>
      </c>
    </row>
    <row r="9">
      <c r="A9" s="12" t="inlineStr">
        <is>
          <t>Day-1 allowance</t>
        </is>
      </c>
      <c r="B9" s="12" t="inlineStr">
        <is>
          <t>~$455,840</t>
        </is>
      </c>
      <c r="C9" s="12" t="inlineStr">
        <is>
          <t>Booked from day 1 (no stage migration under CECL)</t>
        </is>
      </c>
    </row>
    <row r="10">
      <c r="A10" s="12" t="inlineStr">
        <is>
          <t>JE pair</t>
        </is>
      </c>
      <c r="B10" s="12" t="inlineStr">
        <is>
          <t>DR 470000 / CR 145000</t>
        </is>
      </c>
      <c r="C10" s="12" t="inlineStr">
        <is>
          <t>Credit Loss Expense / Allowance for Credit Losses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2026-05-17T15:04:19Z</dcterms:created>
  <dcterms:modified xmlns:dcterms="http://purl.org/dc/terms/" xmlns:xsi="http://www.w3.org/2001/XMLSchema-instance" xsi:type="dcterms:W3CDTF">2026-05-17T15:04:19Z</dcterms:modified>
</cp:coreProperties>
</file>