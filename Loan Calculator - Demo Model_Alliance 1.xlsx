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fisglobal-my.sharepoint.com/personal/paul_landi_fisglobal_com/Documents/Desktop/Hybrid Funds/Loan Calculator/"/>
    </mc:Choice>
  </mc:AlternateContent>
  <xr:revisionPtr revIDLastSave="77" documentId="8_{6AF936B4-1423-4D73-99FA-9A9A7CFC1D79}" xr6:coauthVersionLast="47" xr6:coauthVersionMax="47" xr10:uidLastSave="{0E6273BB-D382-4428-8792-7C12F7CA4263}"/>
  <bookViews>
    <workbookView xWindow="-110" yWindow="-110" windowWidth="19420" windowHeight="10300" firstSheet="1" activeTab="1" xr2:uid="{F38BDDA0-DE02-446F-BA4F-8983D0E1BF85}"/>
  </bookViews>
  <sheets>
    <sheet name="DIU" sheetId="2" r:id="rId1"/>
    <sheet name="4_Alliance Manufacturing Conv_1" sheetId="3" r:id="rId2"/>
    <sheet name="DIU Income Security" sheetId="4" r:id="rId3"/>
  </sheets>
  <definedNames>
    <definedName name="ColorFirst" localSheetId="1">'4_Alliance Manufacturing Conv_1'!$L$371</definedName>
    <definedName name="ColorLast" localSheetId="1">'4_Alliance Manufacturing Conv_1'!$L$435</definedName>
    <definedName name="DiuUploaded">DIU!$A$1</definedName>
    <definedName name="nFirst">'4_Alliance Manufacturing Conv_1'!$L$20</definedName>
    <definedName name="nLast">'4_Alliance Manufacturing Conv_1'!$L$435</definedName>
    <definedName name="rgnDetail">'4_Alliance Manufacturing Conv_1'!$L$20</definedName>
    <definedName name="rngAccrualBeginDate">'4_Alliance Manufacturing Conv_1'!$N$9</definedName>
    <definedName name="rngAccrualDayCount">'4_Alliance Manufacturing Conv_1'!$U$7</definedName>
    <definedName name="rngAccrualEndDate">'4_Alliance Manufacturing Conv_1'!$N$10</definedName>
    <definedName name="rngCashInterestPayment">'4_Alliance Manufacturing Conv_1'!$X$18</definedName>
    <definedName name="rngCashInterestPaymentTotal">'4_Alliance Manufacturing Conv_1'!$X$14</definedName>
    <definedName name="rngCouponRate">'4_Alliance Manufacturing Conv_1'!$AA$5</definedName>
    <definedName name="rngCouponRateDetail">'4_Alliance Manufacturing Conv_1'!$Q$18</definedName>
    <definedName name="rngCouponType">'4_Alliance Manufacturing Conv_1'!$AA$4</definedName>
    <definedName name="rngCredit">'4_Alliance Manufacturing Conv_1'!$L$17</definedName>
    <definedName name="rngCumulativeInterestAccrued">'4_Alliance Manufacturing Conv_1'!$U$18</definedName>
    <definedName name="rngCumulativePikInterestAccrued">'4_Alliance Manufacturing Conv_1'!$AA$18</definedName>
    <definedName name="rngCurrentInterestRate">'4_Alliance Manufacturing Conv_1'!$S$18</definedName>
    <definedName name="rngDailyAccruedInterest">'4_Alliance Manufacturing Conv_1'!$T$18</definedName>
    <definedName name="rngDailyAccruedInterestTotal">'4_Alliance Manufacturing Conv_1'!$T$14</definedName>
    <definedName name="rngDailyAccruedPikInterest">'4_Alliance Manufacturing Conv_1'!$Z$18</definedName>
    <definedName name="rngDailyAccruedPikInterestTotal">'4_Alliance Manufacturing Conv_1'!$Z$14</definedName>
    <definedName name="rngDayBasis">'4_Alliance Manufacturing Conv_1'!$AA$7</definedName>
    <definedName name="rngDeal">'4_Alliance Manufacturing Conv_1'!$N$5</definedName>
    <definedName name="rngDealID">'4_Alliance Manufacturing Conv_1'!$A$5</definedName>
    <definedName name="rngDebit">'4_Alliance Manufacturing Conv_1'!$L$16</definedName>
    <definedName name="rngDiuAccount">DIU!$L$1</definedName>
    <definedName name="rngDiuAllocationRule">DIU!$M$1</definedName>
    <definedName name="rngDiuAmountLE">DIU!$R$1</definedName>
    <definedName name="rngDiuAmountLocal">DIU!$T$1</definedName>
    <definedName name="rngDiuBatchComments">DIU!$O$1</definedName>
    <definedName name="rngDiuBatchID">DIU!$C$1</definedName>
    <definedName name="rngDiuBatchType">DIU!$N$1</definedName>
    <definedName name="rngDiuDeal">DIU!$H$1</definedName>
    <definedName name="rngDiuDetail">DIU!$A$17</definedName>
    <definedName name="rngDiuEffectiveDate">DIU!$G$1</definedName>
    <definedName name="rngDiuGLDate">DIU!$F$1</definedName>
    <definedName name="rngDiuIncomeSecurity">DIU!$J$1</definedName>
    <definedName name="rngDiuIsDebit">DIU!$U$1</definedName>
    <definedName name="rngDiuJEIndex">DIU!$D$1</definedName>
    <definedName name="rngDiuLegalEntity">DIU!$A$1</definedName>
    <definedName name="rngDiuLegalEntityDomain">DIU!$V$1</definedName>
    <definedName name="rngDiuLEID">DIU!$B$1</definedName>
    <definedName name="rngDiuPosition">DIU!$I$1</definedName>
    <definedName name="rngDiuTransactionComments">DIU!$P$1</definedName>
    <definedName name="rngDiuTransactionFX">DIU!$S$1</definedName>
    <definedName name="rngDiuTransactionIndex">DIU!$E$1</definedName>
    <definedName name="rngDiuTransactionType">DIU!$K$1</definedName>
    <definedName name="rngDiuXLCOriginalAmount">DIU!$Q$1</definedName>
    <definedName name="rngDiuxxx">DIU!$W$1</definedName>
    <definedName name="rngFaceValue">'4_Alliance Manufacturing Conv_1'!$U$4</definedName>
    <definedName name="rngFloatingRate">'4_Alliance Manufacturing Conv_1'!$AA$6</definedName>
    <definedName name="rngFloatingRateDetail">'4_Alliance Manufacturing Conv_1'!$R$18</definedName>
    <definedName name="rngFrequency">'4_Alliance Manufacturing Conv_1'!$U$11</definedName>
    <definedName name="rngGLDate">'4_Alliance Manufacturing Conv_1'!$L$18</definedName>
    <definedName name="rngIncomeSecurity">'4_Alliance Manufacturing Conv_1'!$N$7</definedName>
    <definedName name="rngInitialPurchase">'4_Alliance Manufacturing Conv_1'!$N$18</definedName>
    <definedName name="rngInterestAdjustments">'4_Alliance Manufacturing Conv_1'!$W$18</definedName>
    <definedName name="rngInterestPreviousDay">'4_Alliance Manufacturing Conv_1'!$U$9</definedName>
    <definedName name="rngLastPicCapitalizationDate">'4_Alliance Manufacturing Conv_1'!$AA$9</definedName>
    <definedName name="rngLastRow">'4_Alliance Manufacturing Conv_1'!$L$20</definedName>
    <definedName name="rngLeDomain">'4_Alliance Manufacturing Conv_1'!$A$3</definedName>
    <definedName name="rngLegalEntity">'4_Alliance Manufacturing Conv_1'!$N$4</definedName>
    <definedName name="rngLEID">'4_Alliance Manufacturing Conv_1'!$A$4</definedName>
    <definedName name="rngLoanBalance">'4_Alliance Manufacturing Conv_1'!$M$18</definedName>
    <definedName name="rngMaturityDate">'4_Alliance Manufacturing Conv_1'!$U$6</definedName>
    <definedName name="rngPaydateDayCount">'4_Alliance Manufacturing Conv_1'!$U$8</definedName>
    <definedName name="rngPikEnabled">'4_Alliance Manufacturing Conv_1'!$AA$8</definedName>
    <definedName name="rngPikInterestAdjustments">'4_Alliance Manufacturing Conv_1'!$AB$18</definedName>
    <definedName name="rngPikInterestRate">'4_Alliance Manufacturing Conv_1'!$Y$18</definedName>
    <definedName name="rngPikPaydown">'4_Alliance Manufacturing Conv_1'!$AC$18</definedName>
    <definedName name="rngPikPaydownTotal">'4_Alliance Manufacturing Conv_1'!$AC$14</definedName>
    <definedName name="rngPikRate">'4_Alliance Manufacturing Conv_1'!$AA$10</definedName>
    <definedName name="rngPosID">'4_Alliance Manufacturing Conv_1'!$A$6</definedName>
    <definedName name="rngPosition">'4_Alliance Manufacturing Conv_1'!$N$6</definedName>
    <definedName name="rngPrincipalDraws">'4_Alliance Manufacturing Conv_1'!$O$18</definedName>
    <definedName name="rngPrincipalPaydown">'4_Alliance Manufacturing Conv_1'!$P$18</definedName>
    <definedName name="rngPrincipalRepayment">'4_Alliance Manufacturing Conv_1'!$U$10</definedName>
    <definedName name="rngSecID">'4_Alliance Manufacturing Conv_1'!$A$7</definedName>
    <definedName name="rngSettlementDate">'4_Alliance Manufacturing Conv_1'!$U$5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0" i="3" l="1"/>
  <c r="D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20" i="3"/>
  <c r="H20" i="3"/>
  <c r="E20" i="3" l="1"/>
  <c r="D21" i="3"/>
  <c r="D22" i="3" s="1"/>
  <c r="H21" i="3"/>
  <c r="I21" i="3" s="1"/>
  <c r="I20" i="3"/>
  <c r="J20" i="3" s="1"/>
  <c r="C21" i="3"/>
  <c r="F20" i="3" l="1"/>
  <c r="E21" i="3"/>
  <c r="H22" i="3"/>
  <c r="I22" i="3" s="1"/>
  <c r="K22" i="3" s="1"/>
  <c r="K21" i="3"/>
  <c r="J21" i="3"/>
  <c r="C292" i="3"/>
  <c r="C272" i="3"/>
  <c r="C144" i="3"/>
  <c r="C84" i="3"/>
  <c r="C56" i="3"/>
  <c r="C432" i="3"/>
  <c r="C424" i="3"/>
  <c r="C408" i="3"/>
  <c r="C400" i="3"/>
  <c r="C392" i="3"/>
  <c r="C384" i="3"/>
  <c r="C380" i="3"/>
  <c r="C376" i="3"/>
  <c r="C372" i="3"/>
  <c r="C368" i="3"/>
  <c r="C364" i="3"/>
  <c r="C360" i="3"/>
  <c r="C356" i="3"/>
  <c r="C352" i="3"/>
  <c r="C348" i="3"/>
  <c r="C344" i="3"/>
  <c r="C340" i="3"/>
  <c r="C336" i="3"/>
  <c r="C332" i="3"/>
  <c r="C328" i="3"/>
  <c r="C320" i="3"/>
  <c r="C316" i="3"/>
  <c r="C312" i="3"/>
  <c r="C308" i="3"/>
  <c r="C304" i="3"/>
  <c r="C300" i="3"/>
  <c r="C296" i="3"/>
  <c r="C288" i="3"/>
  <c r="C284" i="3"/>
  <c r="C280" i="3"/>
  <c r="C276" i="3"/>
  <c r="C268" i="3"/>
  <c r="C264" i="3"/>
  <c r="C260" i="3"/>
  <c r="C256" i="3"/>
  <c r="C252" i="3"/>
  <c r="C248" i="3"/>
  <c r="C244" i="3"/>
  <c r="C240" i="3"/>
  <c r="C236" i="3"/>
  <c r="C228" i="3"/>
  <c r="C224" i="3"/>
  <c r="C220" i="3"/>
  <c r="C216" i="3"/>
  <c r="C212" i="3"/>
  <c r="C208" i="3"/>
  <c r="C204" i="3"/>
  <c r="C200" i="3"/>
  <c r="C196" i="3"/>
  <c r="C192" i="3"/>
  <c r="C188" i="3"/>
  <c r="C184" i="3"/>
  <c r="C180" i="3"/>
  <c r="C176" i="3"/>
  <c r="C172" i="3"/>
  <c r="C168" i="3"/>
  <c r="C164" i="3"/>
  <c r="C160" i="3"/>
  <c r="C156" i="3"/>
  <c r="C152" i="3"/>
  <c r="C148" i="3"/>
  <c r="C136" i="3"/>
  <c r="C132" i="3"/>
  <c r="C128" i="3"/>
  <c r="C124" i="3"/>
  <c r="C120" i="3"/>
  <c r="C116" i="3"/>
  <c r="C112" i="3"/>
  <c r="C108" i="3"/>
  <c r="C104" i="3"/>
  <c r="C100" i="3"/>
  <c r="C96" i="3"/>
  <c r="C92" i="3"/>
  <c r="C88" i="3"/>
  <c r="C80" i="3"/>
  <c r="C76" i="3"/>
  <c r="C72" i="3"/>
  <c r="C68" i="3"/>
  <c r="C64" i="3"/>
  <c r="C60" i="3"/>
  <c r="C52" i="3"/>
  <c r="C48" i="3"/>
  <c r="C44" i="3"/>
  <c r="C40" i="3"/>
  <c r="C36" i="3"/>
  <c r="C32" i="3"/>
  <c r="C28" i="3"/>
  <c r="C24" i="3"/>
  <c r="C435" i="3"/>
  <c r="C431" i="3"/>
  <c r="C427" i="3"/>
  <c r="C423" i="3"/>
  <c r="C419" i="3"/>
  <c r="C415" i="3"/>
  <c r="C411" i="3"/>
  <c r="C407" i="3"/>
  <c r="C403" i="3"/>
  <c r="C399" i="3"/>
  <c r="C395" i="3"/>
  <c r="C391" i="3"/>
  <c r="C387" i="3"/>
  <c r="C383" i="3"/>
  <c r="C379" i="3"/>
  <c r="C375" i="3"/>
  <c r="C371" i="3"/>
  <c r="C367" i="3"/>
  <c r="C363" i="3"/>
  <c r="C359" i="3"/>
  <c r="C355" i="3"/>
  <c r="C351" i="3"/>
  <c r="C347" i="3"/>
  <c r="C343" i="3"/>
  <c r="C339" i="3"/>
  <c r="C335" i="3"/>
  <c r="C331" i="3"/>
  <c r="C327" i="3"/>
  <c r="C323" i="3"/>
  <c r="C319" i="3"/>
  <c r="C315" i="3"/>
  <c r="C311" i="3"/>
  <c r="C307" i="3"/>
  <c r="C303" i="3"/>
  <c r="C299" i="3"/>
  <c r="C295" i="3"/>
  <c r="C291" i="3"/>
  <c r="C287" i="3"/>
  <c r="C283" i="3"/>
  <c r="C279" i="3"/>
  <c r="C275" i="3"/>
  <c r="C271" i="3"/>
  <c r="C267" i="3"/>
  <c r="C259" i="3"/>
  <c r="C255" i="3"/>
  <c r="C251" i="3"/>
  <c r="C247" i="3"/>
  <c r="C243" i="3"/>
  <c r="C239" i="3"/>
  <c r="C235" i="3"/>
  <c r="C231" i="3"/>
  <c r="C227" i="3"/>
  <c r="C223" i="3"/>
  <c r="C219" i="3"/>
  <c r="C215" i="3"/>
  <c r="C211" i="3"/>
  <c r="C207" i="3"/>
  <c r="C203" i="3"/>
  <c r="C199" i="3"/>
  <c r="C195" i="3"/>
  <c r="C191" i="3"/>
  <c r="C187" i="3"/>
  <c r="C183" i="3"/>
  <c r="C179" i="3"/>
  <c r="C175" i="3"/>
  <c r="C167" i="3"/>
  <c r="C163" i="3"/>
  <c r="C159" i="3"/>
  <c r="C155" i="3"/>
  <c r="C151" i="3"/>
  <c r="C147" i="3"/>
  <c r="C143" i="3"/>
  <c r="C139" i="3"/>
  <c r="C135" i="3"/>
  <c r="C131" i="3"/>
  <c r="C127" i="3"/>
  <c r="C123" i="3"/>
  <c r="C119" i="3"/>
  <c r="C115" i="3"/>
  <c r="C111" i="3"/>
  <c r="C107" i="3"/>
  <c r="C103" i="3"/>
  <c r="C99" i="3"/>
  <c r="C95" i="3"/>
  <c r="C91" i="3"/>
  <c r="C87" i="3"/>
  <c r="C83" i="3"/>
  <c r="C75" i="3"/>
  <c r="C71" i="3"/>
  <c r="C67" i="3"/>
  <c r="C63" i="3"/>
  <c r="C59" i="3"/>
  <c r="C55" i="3"/>
  <c r="C47" i="3"/>
  <c r="C43" i="3"/>
  <c r="C39" i="3"/>
  <c r="C35" i="3"/>
  <c r="C31" i="3"/>
  <c r="C27" i="3"/>
  <c r="C23" i="3"/>
  <c r="C398" i="3"/>
  <c r="C250" i="3"/>
  <c r="C74" i="3"/>
  <c r="C66" i="3"/>
  <c r="C62" i="3"/>
  <c r="C58" i="3"/>
  <c r="C54" i="3"/>
  <c r="C50" i="3"/>
  <c r="C46" i="3"/>
  <c r="C42" i="3"/>
  <c r="C38" i="3"/>
  <c r="C34" i="3"/>
  <c r="C30" i="3"/>
  <c r="C26" i="3"/>
  <c r="C22" i="3"/>
  <c r="B20" i="3"/>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C428" i="3"/>
  <c r="C420" i="3"/>
  <c r="C412" i="3"/>
  <c r="C404" i="3"/>
  <c r="C396" i="3"/>
  <c r="C388" i="3"/>
  <c r="C434" i="3"/>
  <c r="C430" i="3"/>
  <c r="C426" i="3"/>
  <c r="C422" i="3"/>
  <c r="C418" i="3"/>
  <c r="C414" i="3"/>
  <c r="C410" i="3"/>
  <c r="C406" i="3"/>
  <c r="C402" i="3"/>
  <c r="C394" i="3"/>
  <c r="C390" i="3"/>
  <c r="C386" i="3"/>
  <c r="C382" i="3"/>
  <c r="C378" i="3"/>
  <c r="C374" i="3"/>
  <c r="C370" i="3"/>
  <c r="C366" i="3"/>
  <c r="C362" i="3"/>
  <c r="C358" i="3"/>
  <c r="C350" i="3"/>
  <c r="C346" i="3"/>
  <c r="C342" i="3"/>
  <c r="C338" i="3"/>
  <c r="C334" i="3"/>
  <c r="C330" i="3"/>
  <c r="C326" i="3"/>
  <c r="C322" i="3"/>
  <c r="C318" i="3"/>
  <c r="C314" i="3"/>
  <c r="C310" i="3"/>
  <c r="C306" i="3"/>
  <c r="C302" i="3"/>
  <c r="C298" i="3"/>
  <c r="C294" i="3"/>
  <c r="C290" i="3"/>
  <c r="C286" i="3"/>
  <c r="C282" i="3"/>
  <c r="C278" i="3"/>
  <c r="C274" i="3"/>
  <c r="C270" i="3"/>
  <c r="C266" i="3"/>
  <c r="C262" i="3"/>
  <c r="C258" i="3"/>
  <c r="C254" i="3"/>
  <c r="C246" i="3"/>
  <c r="C242" i="3"/>
  <c r="C238" i="3"/>
  <c r="C234" i="3"/>
  <c r="C230" i="3"/>
  <c r="C226" i="3"/>
  <c r="C222" i="3"/>
  <c r="C218" i="3"/>
  <c r="C214" i="3"/>
  <c r="C210" i="3"/>
  <c r="C206" i="3"/>
  <c r="C202" i="3"/>
  <c r="C198" i="3"/>
  <c r="C194" i="3"/>
  <c r="C190" i="3"/>
  <c r="C186" i="3"/>
  <c r="C182" i="3"/>
  <c r="C178" i="3"/>
  <c r="C174" i="3"/>
  <c r="C170" i="3"/>
  <c r="C166" i="3"/>
  <c r="C162" i="3"/>
  <c r="C158" i="3"/>
  <c r="C154" i="3"/>
  <c r="C150" i="3"/>
  <c r="C146" i="3"/>
  <c r="C142" i="3"/>
  <c r="C138" i="3"/>
  <c r="C134" i="3"/>
  <c r="C130" i="3"/>
  <c r="C126" i="3"/>
  <c r="C122" i="3"/>
  <c r="C118" i="3"/>
  <c r="C114" i="3"/>
  <c r="C106" i="3"/>
  <c r="C102" i="3"/>
  <c r="C98" i="3"/>
  <c r="C94" i="3"/>
  <c r="C90" i="3"/>
  <c r="C86" i="3"/>
  <c r="C82" i="3"/>
  <c r="C78" i="3"/>
  <c r="C70" i="3"/>
  <c r="C433" i="3"/>
  <c r="C429" i="3"/>
  <c r="C425" i="3"/>
  <c r="C421" i="3"/>
  <c r="C417" i="3"/>
  <c r="C413" i="3"/>
  <c r="C409" i="3"/>
  <c r="C405" i="3"/>
  <c r="C401" i="3"/>
  <c r="C397" i="3"/>
  <c r="C393" i="3"/>
  <c r="C389" i="3"/>
  <c r="C381" i="3"/>
  <c r="C377" i="3"/>
  <c r="C373" i="3"/>
  <c r="C369" i="3"/>
  <c r="C365" i="3"/>
  <c r="C361" i="3"/>
  <c r="C357" i="3"/>
  <c r="C353" i="3"/>
  <c r="C349" i="3"/>
  <c r="C345" i="3"/>
  <c r="C341" i="3"/>
  <c r="C337" i="3"/>
  <c r="C333" i="3"/>
  <c r="C329" i="3"/>
  <c r="C325" i="3"/>
  <c r="C321" i="3"/>
  <c r="C317" i="3"/>
  <c r="C313" i="3"/>
  <c r="C309" i="3"/>
  <c r="C305" i="3"/>
  <c r="C301" i="3"/>
  <c r="C297" i="3"/>
  <c r="C289" i="3"/>
  <c r="C285" i="3"/>
  <c r="C281" i="3"/>
  <c r="C277" i="3"/>
  <c r="C273" i="3"/>
  <c r="C269" i="3"/>
  <c r="C265" i="3"/>
  <c r="C261" i="3"/>
  <c r="C257" i="3"/>
  <c r="C253" i="3"/>
  <c r="C249" i="3"/>
  <c r="C245" i="3"/>
  <c r="C241" i="3"/>
  <c r="C237" i="3"/>
  <c r="C233" i="3"/>
  <c r="C229" i="3"/>
  <c r="C225" i="3"/>
  <c r="C221" i="3"/>
  <c r="C217" i="3"/>
  <c r="C213" i="3"/>
  <c r="C209" i="3"/>
  <c r="C205" i="3"/>
  <c r="C197" i="3"/>
  <c r="C193" i="3"/>
  <c r="C189" i="3"/>
  <c r="C185" i="3"/>
  <c r="C181" i="3"/>
  <c r="C177" i="3"/>
  <c r="C173" i="3"/>
  <c r="C169" i="3"/>
  <c r="C165" i="3"/>
  <c r="C161" i="3"/>
  <c r="C157" i="3"/>
  <c r="C153" i="3"/>
  <c r="C149" i="3"/>
  <c r="C145" i="3"/>
  <c r="C141" i="3"/>
  <c r="C137" i="3"/>
  <c r="C133" i="3"/>
  <c r="C129" i="3"/>
  <c r="C125" i="3"/>
  <c r="C121" i="3"/>
  <c r="C117" i="3"/>
  <c r="C113" i="3"/>
  <c r="C109" i="3"/>
  <c r="C105" i="3"/>
  <c r="C101" i="3"/>
  <c r="C97" i="3"/>
  <c r="C93" i="3"/>
  <c r="C89" i="3"/>
  <c r="C85" i="3"/>
  <c r="C81" i="3"/>
  <c r="C77" i="3"/>
  <c r="C73" i="3"/>
  <c r="C69" i="3"/>
  <c r="C65" i="3"/>
  <c r="C61" i="3"/>
  <c r="C57" i="3"/>
  <c r="C53" i="3"/>
  <c r="C49" i="3"/>
  <c r="C45" i="3"/>
  <c r="C41" i="3"/>
  <c r="C37" i="3"/>
  <c r="C33" i="3"/>
  <c r="C29" i="3"/>
  <c r="C25" i="3"/>
  <c r="U15" i="2"/>
  <c r="R15" i="2"/>
  <c r="T15" i="2" s="1"/>
  <c r="U14" i="2"/>
  <c r="T14" i="2"/>
  <c r="R14" i="2"/>
  <c r="T12" i="2"/>
  <c r="R12" i="2"/>
  <c r="U11" i="2"/>
  <c r="U12" i="2" s="1"/>
  <c r="R11" i="2"/>
  <c r="T11" i="2" s="1"/>
  <c r="U9" i="2"/>
  <c r="T9" i="2"/>
  <c r="R9" i="2"/>
  <c r="U8" i="2"/>
  <c r="T8" i="2"/>
  <c r="R8" i="2"/>
  <c r="U6" i="2"/>
  <c r="T6" i="2"/>
  <c r="R6" i="2"/>
  <c r="U5" i="2"/>
  <c r="R5" i="2"/>
  <c r="T5" i="2" s="1"/>
  <c r="U3" i="2"/>
  <c r="T3" i="2"/>
  <c r="R3" i="2"/>
  <c r="U2" i="2"/>
  <c r="T2" i="2"/>
  <c r="R2" i="2"/>
  <c r="AC14" i="3"/>
  <c r="X14" i="3"/>
  <c r="Q66" i="3"/>
  <c r="Q67" i="3" s="1"/>
  <c r="Q68" i="3" s="1"/>
  <c r="Q69" i="3" s="1"/>
  <c r="R56" i="3"/>
  <c r="R57" i="3" s="1"/>
  <c r="R58" i="3" s="1"/>
  <c r="R59" i="3" s="1"/>
  <c r="R60" i="3" s="1"/>
  <c r="R61" i="3" s="1"/>
  <c r="R62" i="3" s="1"/>
  <c r="R63" i="3" s="1"/>
  <c r="R64" i="3" s="1"/>
  <c r="R65" i="3" s="1"/>
  <c r="R49" i="3"/>
  <c r="R50" i="3" s="1"/>
  <c r="R51" i="3" s="1"/>
  <c r="R52" i="3" s="1"/>
  <c r="R53" i="3" s="1"/>
  <c r="R54" i="3" s="1"/>
  <c r="R42" i="3"/>
  <c r="R43" i="3" s="1"/>
  <c r="R44" i="3" s="1"/>
  <c r="R45" i="3" s="1"/>
  <c r="R46" i="3" s="1"/>
  <c r="R47" i="3" s="1"/>
  <c r="Y38" i="3"/>
  <c r="Y39" i="3" s="1"/>
  <c r="Y40" i="3" s="1"/>
  <c r="Y41" i="3" s="1"/>
  <c r="Y42" i="3" s="1"/>
  <c r="Y43" i="3" s="1"/>
  <c r="Y44" i="3" s="1"/>
  <c r="Y45" i="3" s="1"/>
  <c r="Y46" i="3" s="1"/>
  <c r="Y47" i="3" s="1"/>
  <c r="Y48" i="3" s="1"/>
  <c r="Y49" i="3" s="1"/>
  <c r="Y50" i="3" s="1"/>
  <c r="Y51" i="3" s="1"/>
  <c r="Y52" i="3" s="1"/>
  <c r="Y53" i="3" s="1"/>
  <c r="Y54" i="3" s="1"/>
  <c r="Y55" i="3" s="1"/>
  <c r="Y56" i="3" s="1"/>
  <c r="Y57" i="3" s="1"/>
  <c r="Y58" i="3" s="1"/>
  <c r="Y59" i="3" s="1"/>
  <c r="Y60" i="3" s="1"/>
  <c r="Y61" i="3" s="1"/>
  <c r="Y62" i="3" s="1"/>
  <c r="Y63" i="3" s="1"/>
  <c r="Y64" i="3" s="1"/>
  <c r="Y65" i="3" s="1"/>
  <c r="Y66" i="3" s="1"/>
  <c r="Y67" i="3" s="1"/>
  <c r="Y68" i="3" s="1"/>
  <c r="Y69" i="3" s="1"/>
  <c r="Y70" i="3" s="1"/>
  <c r="Y71" i="3" s="1"/>
  <c r="Y72" i="3" s="1"/>
  <c r="Y73" i="3" s="1"/>
  <c r="Y74" i="3" s="1"/>
  <c r="Y75" i="3" s="1"/>
  <c r="Y76" i="3" s="1"/>
  <c r="Y77" i="3" s="1"/>
  <c r="Y78" i="3" s="1"/>
  <c r="Y79" i="3" s="1"/>
  <c r="Y80" i="3" s="1"/>
  <c r="Y81" i="3" s="1"/>
  <c r="Y82" i="3" s="1"/>
  <c r="Y83" i="3" s="1"/>
  <c r="Y84" i="3" s="1"/>
  <c r="Y85" i="3" s="1"/>
  <c r="Y86" i="3" s="1"/>
  <c r="Y87" i="3" s="1"/>
  <c r="Y88" i="3" s="1"/>
  <c r="Y89" i="3" s="1"/>
  <c r="Y90" i="3" s="1"/>
  <c r="Y91" i="3" s="1"/>
  <c r="Y92" i="3" s="1"/>
  <c r="Y93" i="3" s="1"/>
  <c r="Y94" i="3" s="1"/>
  <c r="Y95" i="3" s="1"/>
  <c r="Y96" i="3" s="1"/>
  <c r="Y97" i="3" s="1"/>
  <c r="Y98" i="3" s="1"/>
  <c r="Y99" i="3" s="1"/>
  <c r="Y100" i="3" s="1"/>
  <c r="Y101" i="3" s="1"/>
  <c r="Y102" i="3" s="1"/>
  <c r="Y103" i="3" s="1"/>
  <c r="Y104" i="3" s="1"/>
  <c r="Y105" i="3" s="1"/>
  <c r="Y106" i="3" s="1"/>
  <c r="Y107" i="3" s="1"/>
  <c r="Y108" i="3" s="1"/>
  <c r="Y109" i="3" s="1"/>
  <c r="Y110" i="3" s="1"/>
  <c r="Y111" i="3" s="1"/>
  <c r="Y112" i="3" s="1"/>
  <c r="Y113" i="3" s="1"/>
  <c r="Y114" i="3" s="1"/>
  <c r="Y115" i="3" s="1"/>
  <c r="Y116" i="3" s="1"/>
  <c r="Y117" i="3" s="1"/>
  <c r="Y118" i="3" s="1"/>
  <c r="Y119" i="3" s="1"/>
  <c r="Y120" i="3" s="1"/>
  <c r="Y121" i="3" s="1"/>
  <c r="Y122" i="3" s="1"/>
  <c r="Y123" i="3" s="1"/>
  <c r="Y124" i="3" s="1"/>
  <c r="Y125" i="3" s="1"/>
  <c r="Y126" i="3" s="1"/>
  <c r="Y127" i="3" s="1"/>
  <c r="Y128" i="3" s="1"/>
  <c r="Y129" i="3" s="1"/>
  <c r="Y130" i="3" s="1"/>
  <c r="Y131" i="3" s="1"/>
  <c r="Y132" i="3" s="1"/>
  <c r="Y133" i="3" s="1"/>
  <c r="Y134" i="3" s="1"/>
  <c r="Y135" i="3" s="1"/>
  <c r="Y136" i="3" s="1"/>
  <c r="Y137" i="3" s="1"/>
  <c r="Y138" i="3" s="1"/>
  <c r="Y139" i="3" s="1"/>
  <c r="Y140" i="3" s="1"/>
  <c r="Y141" i="3" s="1"/>
  <c r="Y142" i="3" s="1"/>
  <c r="Y143" i="3" s="1"/>
  <c r="Y144" i="3" s="1"/>
  <c r="Y145" i="3" s="1"/>
  <c r="Y146" i="3" s="1"/>
  <c r="Y147" i="3" s="1"/>
  <c r="Y148" i="3" s="1"/>
  <c r="Y149" i="3" s="1"/>
  <c r="Y150" i="3" s="1"/>
  <c r="Y151" i="3" s="1"/>
  <c r="Y152" i="3" s="1"/>
  <c r="Y153" i="3" s="1"/>
  <c r="Y154" i="3" s="1"/>
  <c r="Y155" i="3" s="1"/>
  <c r="Y156" i="3" s="1"/>
  <c r="Y157" i="3" s="1"/>
  <c r="Y158" i="3" s="1"/>
  <c r="Y159" i="3" s="1"/>
  <c r="Y160" i="3" s="1"/>
  <c r="Y161" i="3" s="1"/>
  <c r="Y162" i="3" s="1"/>
  <c r="Y163" i="3" s="1"/>
  <c r="Y164" i="3" s="1"/>
  <c r="Y165" i="3" s="1"/>
  <c r="Y166" i="3" s="1"/>
  <c r="Y167" i="3" s="1"/>
  <c r="Y168" i="3" s="1"/>
  <c r="Y169" i="3" s="1"/>
  <c r="Y170" i="3" s="1"/>
  <c r="Y171" i="3" s="1"/>
  <c r="Y172" i="3" s="1"/>
  <c r="Y173" i="3" s="1"/>
  <c r="Y174" i="3" s="1"/>
  <c r="Y175" i="3" s="1"/>
  <c r="Y176" i="3" s="1"/>
  <c r="Y177" i="3" s="1"/>
  <c r="Y178" i="3" s="1"/>
  <c r="Y179" i="3" s="1"/>
  <c r="Y180" i="3" s="1"/>
  <c r="Y181" i="3" s="1"/>
  <c r="Y182" i="3" s="1"/>
  <c r="Y183" i="3" s="1"/>
  <c r="Y184" i="3" s="1"/>
  <c r="Y185" i="3" s="1"/>
  <c r="Y186" i="3" s="1"/>
  <c r="Y187" i="3" s="1"/>
  <c r="Y188" i="3" s="1"/>
  <c r="Y189" i="3" s="1"/>
  <c r="Y190" i="3" s="1"/>
  <c r="Y191" i="3" s="1"/>
  <c r="Y192" i="3" s="1"/>
  <c r="Y193" i="3" s="1"/>
  <c r="Y194" i="3" s="1"/>
  <c r="Y195" i="3" s="1"/>
  <c r="Y196" i="3" s="1"/>
  <c r="Y197" i="3" s="1"/>
  <c r="Y198" i="3" s="1"/>
  <c r="Y199" i="3" s="1"/>
  <c r="Y200" i="3" s="1"/>
  <c r="Y201" i="3" s="1"/>
  <c r="Y202" i="3" s="1"/>
  <c r="Y203" i="3" s="1"/>
  <c r="Y204" i="3" s="1"/>
  <c r="Y205" i="3" s="1"/>
  <c r="Y206" i="3" s="1"/>
  <c r="Y207" i="3" s="1"/>
  <c r="Y208" i="3" s="1"/>
  <c r="Y209" i="3" s="1"/>
  <c r="Y210" i="3" s="1"/>
  <c r="Y211" i="3" s="1"/>
  <c r="Y212" i="3" s="1"/>
  <c r="Y213" i="3" s="1"/>
  <c r="Y214" i="3" s="1"/>
  <c r="Y215" i="3" s="1"/>
  <c r="Y216" i="3" s="1"/>
  <c r="Y217" i="3" s="1"/>
  <c r="Y218" i="3" s="1"/>
  <c r="Y219" i="3" s="1"/>
  <c r="Y220" i="3" s="1"/>
  <c r="Y221" i="3" s="1"/>
  <c r="Y222" i="3" s="1"/>
  <c r="Y223" i="3" s="1"/>
  <c r="Y224" i="3" s="1"/>
  <c r="Y225" i="3" s="1"/>
  <c r="Y226" i="3" s="1"/>
  <c r="Y227" i="3" s="1"/>
  <c r="Y228" i="3" s="1"/>
  <c r="Y229" i="3" s="1"/>
  <c r="Y230" i="3" s="1"/>
  <c r="Y231" i="3" s="1"/>
  <c r="Y232" i="3" s="1"/>
  <c r="Y233" i="3" s="1"/>
  <c r="Y234" i="3" s="1"/>
  <c r="Y235" i="3" s="1"/>
  <c r="Y236" i="3" s="1"/>
  <c r="Y237" i="3" s="1"/>
  <c r="Y238" i="3" s="1"/>
  <c r="Y239" i="3" s="1"/>
  <c r="Y240" i="3" s="1"/>
  <c r="Y241" i="3" s="1"/>
  <c r="Y242" i="3" s="1"/>
  <c r="Y243" i="3" s="1"/>
  <c r="Y244" i="3" s="1"/>
  <c r="Y245" i="3" s="1"/>
  <c r="Y246" i="3" s="1"/>
  <c r="Y247" i="3" s="1"/>
  <c r="Y248" i="3" s="1"/>
  <c r="Y249" i="3" s="1"/>
  <c r="Y250" i="3" s="1"/>
  <c r="Y251" i="3" s="1"/>
  <c r="Y252" i="3" s="1"/>
  <c r="Y253" i="3" s="1"/>
  <c r="Y254" i="3" s="1"/>
  <c r="Y255" i="3" s="1"/>
  <c r="Y256" i="3" s="1"/>
  <c r="Y257" i="3" s="1"/>
  <c r="Y258" i="3" s="1"/>
  <c r="Y259" i="3" s="1"/>
  <c r="Y260" i="3" s="1"/>
  <c r="Y261" i="3" s="1"/>
  <c r="Y262" i="3" s="1"/>
  <c r="Y263" i="3" s="1"/>
  <c r="Y264" i="3" s="1"/>
  <c r="Y265" i="3" s="1"/>
  <c r="Y266" i="3" s="1"/>
  <c r="Y267" i="3" s="1"/>
  <c r="Y268" i="3" s="1"/>
  <c r="Y269" i="3" s="1"/>
  <c r="Y270" i="3" s="1"/>
  <c r="Y271" i="3" s="1"/>
  <c r="Y272" i="3" s="1"/>
  <c r="Y273" i="3" s="1"/>
  <c r="Y274" i="3" s="1"/>
  <c r="Y275" i="3" s="1"/>
  <c r="Y276" i="3" s="1"/>
  <c r="Y277" i="3" s="1"/>
  <c r="Y278" i="3" s="1"/>
  <c r="Y279" i="3" s="1"/>
  <c r="Y280" i="3" s="1"/>
  <c r="Y281" i="3" s="1"/>
  <c r="Y282" i="3" s="1"/>
  <c r="Y283" i="3" s="1"/>
  <c r="Y284" i="3" s="1"/>
  <c r="Y285" i="3" s="1"/>
  <c r="Y286" i="3" s="1"/>
  <c r="Y287" i="3" s="1"/>
  <c r="Y288" i="3" s="1"/>
  <c r="Y289" i="3" s="1"/>
  <c r="Y290" i="3" s="1"/>
  <c r="Y291" i="3" s="1"/>
  <c r="Y292" i="3" s="1"/>
  <c r="Y293" i="3" s="1"/>
  <c r="Y294" i="3" s="1"/>
  <c r="Y295" i="3" s="1"/>
  <c r="Y296" i="3" s="1"/>
  <c r="Y297" i="3" s="1"/>
  <c r="Y298" i="3" s="1"/>
  <c r="Y299" i="3" s="1"/>
  <c r="Y300" i="3" s="1"/>
  <c r="Y301" i="3" s="1"/>
  <c r="Y302" i="3" s="1"/>
  <c r="Y303" i="3" s="1"/>
  <c r="Y304" i="3" s="1"/>
  <c r="Y305" i="3" s="1"/>
  <c r="Y306" i="3" s="1"/>
  <c r="Y307" i="3" s="1"/>
  <c r="Y308" i="3" s="1"/>
  <c r="Y309" i="3" s="1"/>
  <c r="Y310" i="3" s="1"/>
  <c r="Y311" i="3" s="1"/>
  <c r="Y312" i="3" s="1"/>
  <c r="Y313" i="3" s="1"/>
  <c r="Y314" i="3" s="1"/>
  <c r="Y315" i="3" s="1"/>
  <c r="Y316" i="3" s="1"/>
  <c r="Y317" i="3" s="1"/>
  <c r="Y318" i="3" s="1"/>
  <c r="Y319" i="3" s="1"/>
  <c r="Y320" i="3" s="1"/>
  <c r="Y321" i="3" s="1"/>
  <c r="Y322" i="3" s="1"/>
  <c r="Y323" i="3" s="1"/>
  <c r="Y324" i="3" s="1"/>
  <c r="Y325" i="3" s="1"/>
  <c r="Y326" i="3" s="1"/>
  <c r="Y327" i="3" s="1"/>
  <c r="Y328" i="3" s="1"/>
  <c r="Y329" i="3" s="1"/>
  <c r="Y330" i="3" s="1"/>
  <c r="Y331" i="3" s="1"/>
  <c r="Y332" i="3" s="1"/>
  <c r="Y333" i="3" s="1"/>
  <c r="Y334" i="3" s="1"/>
  <c r="Y335" i="3" s="1"/>
  <c r="Y336" i="3" s="1"/>
  <c r="Y337" i="3" s="1"/>
  <c r="Y338" i="3" s="1"/>
  <c r="Y339" i="3" s="1"/>
  <c r="Y340" i="3" s="1"/>
  <c r="Y341" i="3" s="1"/>
  <c r="Y342" i="3" s="1"/>
  <c r="Y343" i="3" s="1"/>
  <c r="Y344" i="3" s="1"/>
  <c r="Y345" i="3" s="1"/>
  <c r="Y346" i="3" s="1"/>
  <c r="Y347" i="3" s="1"/>
  <c r="Y348" i="3" s="1"/>
  <c r="Y349" i="3" s="1"/>
  <c r="Y350" i="3" s="1"/>
  <c r="Y351" i="3" s="1"/>
  <c r="Y352" i="3" s="1"/>
  <c r="Y353" i="3" s="1"/>
  <c r="Y354" i="3" s="1"/>
  <c r="Y355" i="3" s="1"/>
  <c r="Y356" i="3" s="1"/>
  <c r="Y357" i="3" s="1"/>
  <c r="Y358" i="3" s="1"/>
  <c r="Y359" i="3" s="1"/>
  <c r="Y360" i="3" s="1"/>
  <c r="Y361" i="3" s="1"/>
  <c r="Y362" i="3" s="1"/>
  <c r="Y363" i="3" s="1"/>
  <c r="Y364" i="3" s="1"/>
  <c r="Y365" i="3" s="1"/>
  <c r="Y366" i="3" s="1"/>
  <c r="Y367" i="3" s="1"/>
  <c r="Y368" i="3" s="1"/>
  <c r="Y369" i="3" s="1"/>
  <c r="Y370" i="3" s="1"/>
  <c r="Y371" i="3" s="1"/>
  <c r="Y372" i="3" s="1"/>
  <c r="Y373" i="3" s="1"/>
  <c r="Y374" i="3" s="1"/>
  <c r="Y375" i="3" s="1"/>
  <c r="Y376" i="3" s="1"/>
  <c r="Y377" i="3" s="1"/>
  <c r="Y378" i="3" s="1"/>
  <c r="Y379" i="3" s="1"/>
  <c r="Y380" i="3" s="1"/>
  <c r="Y381" i="3" s="1"/>
  <c r="Y382" i="3" s="1"/>
  <c r="Y383" i="3" s="1"/>
  <c r="Y384" i="3" s="1"/>
  <c r="Y385" i="3" s="1"/>
  <c r="Y386" i="3" s="1"/>
  <c r="Y387" i="3" s="1"/>
  <c r="Y388" i="3" s="1"/>
  <c r="Y389" i="3" s="1"/>
  <c r="Y390" i="3" s="1"/>
  <c r="Y391" i="3" s="1"/>
  <c r="Y392" i="3" s="1"/>
  <c r="Y393" i="3" s="1"/>
  <c r="Y394" i="3" s="1"/>
  <c r="Y395" i="3" s="1"/>
  <c r="Y396" i="3" s="1"/>
  <c r="Y397" i="3" s="1"/>
  <c r="Y398" i="3" s="1"/>
  <c r="Y399" i="3" s="1"/>
  <c r="Y400" i="3" s="1"/>
  <c r="Y401" i="3" s="1"/>
  <c r="Y402" i="3" s="1"/>
  <c r="Y403" i="3" s="1"/>
  <c r="Y404" i="3" s="1"/>
  <c r="Y405" i="3" s="1"/>
  <c r="Y406" i="3" s="1"/>
  <c r="Y407" i="3" s="1"/>
  <c r="Y408" i="3" s="1"/>
  <c r="Y409" i="3" s="1"/>
  <c r="Y410" i="3" s="1"/>
  <c r="Y411" i="3" s="1"/>
  <c r="Y412" i="3" s="1"/>
  <c r="Y413" i="3" s="1"/>
  <c r="Y414" i="3" s="1"/>
  <c r="Y415" i="3" s="1"/>
  <c r="Y416" i="3" s="1"/>
  <c r="Y417" i="3" s="1"/>
  <c r="Y418" i="3" s="1"/>
  <c r="Y419" i="3" s="1"/>
  <c r="Y420" i="3" s="1"/>
  <c r="Y421" i="3" s="1"/>
  <c r="Y422" i="3" s="1"/>
  <c r="Y423" i="3" s="1"/>
  <c r="Y424" i="3" s="1"/>
  <c r="Y425" i="3" s="1"/>
  <c r="Y426" i="3" s="1"/>
  <c r="Y427" i="3" s="1"/>
  <c r="Y428" i="3" s="1"/>
  <c r="Y429" i="3" s="1"/>
  <c r="Y430" i="3" s="1"/>
  <c r="Y431" i="3" s="1"/>
  <c r="Y432" i="3" s="1"/>
  <c r="Y433" i="3" s="1"/>
  <c r="Y434" i="3" s="1"/>
  <c r="Y435" i="3" s="1"/>
  <c r="Y21" i="3"/>
  <c r="Y22" i="3" s="1"/>
  <c r="Y23" i="3" s="1"/>
  <c r="Y24" i="3" s="1"/>
  <c r="Y25" i="3" s="1"/>
  <c r="Y26" i="3" s="1"/>
  <c r="Y27" i="3" s="1"/>
  <c r="Y28" i="3" s="1"/>
  <c r="Y29" i="3" s="1"/>
  <c r="Y30" i="3" s="1"/>
  <c r="Y31" i="3" s="1"/>
  <c r="Y32" i="3" s="1"/>
  <c r="Y33" i="3" s="1"/>
  <c r="Y34" i="3" s="1"/>
  <c r="Y35" i="3" s="1"/>
  <c r="Y36" i="3" s="1"/>
  <c r="R21" i="3"/>
  <c r="R22" i="3" s="1"/>
  <c r="R23" i="3" s="1"/>
  <c r="R24" i="3" s="1"/>
  <c r="R25" i="3" s="1"/>
  <c r="R26" i="3" s="1"/>
  <c r="R27" i="3" s="1"/>
  <c r="R28" i="3" s="1"/>
  <c r="R29" i="3" s="1"/>
  <c r="R30" i="3" s="1"/>
  <c r="R31" i="3" s="1"/>
  <c r="R32" i="3" s="1"/>
  <c r="R33" i="3" s="1"/>
  <c r="R34" i="3" s="1"/>
  <c r="R35" i="3" s="1"/>
  <c r="R36" i="3" s="1"/>
  <c r="R37" i="3" s="1"/>
  <c r="R38" i="3" s="1"/>
  <c r="R39" i="3" s="1"/>
  <c r="R40" i="3" s="1"/>
  <c r="Q21" i="3"/>
  <c r="S20" i="3"/>
  <c r="T20" i="3" l="1"/>
  <c r="U20" i="3" s="1"/>
  <c r="M21" i="3"/>
  <c r="M22" i="3" s="1"/>
  <c r="Z20" i="3"/>
  <c r="AA20" i="3" s="1"/>
  <c r="F21" i="3"/>
  <c r="G21" i="3"/>
  <c r="V21" i="3" s="1"/>
  <c r="E22" i="3"/>
  <c r="H23" i="3"/>
  <c r="H24" i="3" s="1"/>
  <c r="D23" i="3"/>
  <c r="J22" i="3"/>
  <c r="S21" i="3"/>
  <c r="B52" i="3"/>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Q22" i="3"/>
  <c r="S22" i="3" s="1"/>
  <c r="S65" i="3"/>
  <c r="R66" i="3"/>
  <c r="R67" i="3" s="1"/>
  <c r="R68" i="3" s="1"/>
  <c r="R69" i="3" s="1"/>
  <c r="R70" i="3" s="1"/>
  <c r="R71" i="3" s="1"/>
  <c r="R72" i="3" s="1"/>
  <c r="R73" i="3" s="1"/>
  <c r="R74" i="3" s="1"/>
  <c r="R75" i="3" s="1"/>
  <c r="R76" i="3" s="1"/>
  <c r="R77" i="3" s="1"/>
  <c r="R78" i="3" s="1"/>
  <c r="R79" i="3" s="1"/>
  <c r="R80" i="3" s="1"/>
  <c r="R81" i="3" s="1"/>
  <c r="R82" i="3" s="1"/>
  <c r="R83" i="3" s="1"/>
  <c r="R84" i="3" s="1"/>
  <c r="R85" i="3" s="1"/>
  <c r="R86" i="3" s="1"/>
  <c r="R87" i="3" s="1"/>
  <c r="R88" i="3" s="1"/>
  <c r="R89" i="3" s="1"/>
  <c r="R90" i="3" s="1"/>
  <c r="R91" i="3" s="1"/>
  <c r="R92" i="3" s="1"/>
  <c r="R93" i="3" s="1"/>
  <c r="R94" i="3" s="1"/>
  <c r="R95" i="3" s="1"/>
  <c r="R96" i="3" s="1"/>
  <c r="R97" i="3" s="1"/>
  <c r="R98" i="3" s="1"/>
  <c r="R99" i="3" s="1"/>
  <c r="R100" i="3" s="1"/>
  <c r="R101" i="3" s="1"/>
  <c r="R102" i="3" s="1"/>
  <c r="R103" i="3" s="1"/>
  <c r="R104" i="3" s="1"/>
  <c r="R105" i="3" s="1"/>
  <c r="R106" i="3" s="1"/>
  <c r="R107" i="3" s="1"/>
  <c r="R108" i="3" s="1"/>
  <c r="R109" i="3" s="1"/>
  <c r="R110" i="3" s="1"/>
  <c r="R111" i="3" s="1"/>
  <c r="R112" i="3" s="1"/>
  <c r="R113" i="3" s="1"/>
  <c r="R114" i="3" s="1"/>
  <c r="R115" i="3" s="1"/>
  <c r="R116" i="3" s="1"/>
  <c r="R117" i="3" s="1"/>
  <c r="R118" i="3" s="1"/>
  <c r="R119" i="3" s="1"/>
  <c r="R120" i="3" s="1"/>
  <c r="R121" i="3" s="1"/>
  <c r="R122" i="3" s="1"/>
  <c r="R123" i="3" s="1"/>
  <c r="R124" i="3" s="1"/>
  <c r="R125" i="3" s="1"/>
  <c r="R126" i="3" s="1"/>
  <c r="R127" i="3" s="1"/>
  <c r="R128" i="3" s="1"/>
  <c r="R129" i="3" s="1"/>
  <c r="R130" i="3" s="1"/>
  <c r="R131" i="3" s="1"/>
  <c r="R132" i="3" s="1"/>
  <c r="R133" i="3" s="1"/>
  <c r="R134" i="3" s="1"/>
  <c r="R135" i="3" s="1"/>
  <c r="R136" i="3" s="1"/>
  <c r="R137" i="3" s="1"/>
  <c r="R138" i="3" s="1"/>
  <c r="R139" i="3" s="1"/>
  <c r="R140" i="3" s="1"/>
  <c r="R141" i="3" s="1"/>
  <c r="R142" i="3" s="1"/>
  <c r="R143" i="3" s="1"/>
  <c r="R144" i="3" s="1"/>
  <c r="R145" i="3" s="1"/>
  <c r="R146" i="3" s="1"/>
  <c r="R147" i="3" s="1"/>
  <c r="R148" i="3" s="1"/>
  <c r="R149" i="3" s="1"/>
  <c r="R150" i="3" s="1"/>
  <c r="R151" i="3" s="1"/>
  <c r="R152" i="3" s="1"/>
  <c r="R153" i="3" s="1"/>
  <c r="R154" i="3" s="1"/>
  <c r="R155" i="3" s="1"/>
  <c r="R156" i="3" s="1"/>
  <c r="R157" i="3" s="1"/>
  <c r="R158" i="3" s="1"/>
  <c r="R159" i="3" s="1"/>
  <c r="R160" i="3" s="1"/>
  <c r="R161" i="3" s="1"/>
  <c r="R162" i="3" s="1"/>
  <c r="R163" i="3" s="1"/>
  <c r="R164" i="3" s="1"/>
  <c r="R165" i="3" s="1"/>
  <c r="R166" i="3" s="1"/>
  <c r="R167" i="3" s="1"/>
  <c r="R168" i="3" s="1"/>
  <c r="R169" i="3" s="1"/>
  <c r="R170" i="3" s="1"/>
  <c r="R171" i="3" s="1"/>
  <c r="R172" i="3" s="1"/>
  <c r="R173" i="3" s="1"/>
  <c r="R174" i="3" s="1"/>
  <c r="R175" i="3" s="1"/>
  <c r="R176" i="3" s="1"/>
  <c r="R177" i="3" s="1"/>
  <c r="R178" i="3" s="1"/>
  <c r="R179" i="3" s="1"/>
  <c r="R180" i="3" s="1"/>
  <c r="R181" i="3" s="1"/>
  <c r="R182" i="3" s="1"/>
  <c r="R183" i="3" s="1"/>
  <c r="R184" i="3" s="1"/>
  <c r="R185" i="3" s="1"/>
  <c r="R186" i="3" s="1"/>
  <c r="R187" i="3" s="1"/>
  <c r="R188" i="3" s="1"/>
  <c r="R189" i="3" s="1"/>
  <c r="R190" i="3" s="1"/>
  <c r="R191" i="3" s="1"/>
  <c r="R192" i="3" s="1"/>
  <c r="R193" i="3" s="1"/>
  <c r="R194" i="3" s="1"/>
  <c r="R195" i="3" s="1"/>
  <c r="R196" i="3" s="1"/>
  <c r="R197" i="3" s="1"/>
  <c r="R198" i="3" s="1"/>
  <c r="R199" i="3" s="1"/>
  <c r="R200" i="3" s="1"/>
  <c r="R201" i="3" s="1"/>
  <c r="R202" i="3" s="1"/>
  <c r="R203" i="3" s="1"/>
  <c r="R204" i="3" s="1"/>
  <c r="R205" i="3" s="1"/>
  <c r="R206" i="3" s="1"/>
  <c r="R207" i="3" s="1"/>
  <c r="R208" i="3" s="1"/>
  <c r="R209" i="3" s="1"/>
  <c r="R210" i="3" s="1"/>
  <c r="R211" i="3" s="1"/>
  <c r="R212" i="3" s="1"/>
  <c r="R213" i="3" s="1"/>
  <c r="R214" i="3" s="1"/>
  <c r="R215" i="3" s="1"/>
  <c r="R216" i="3" s="1"/>
  <c r="R217" i="3" s="1"/>
  <c r="R218" i="3" s="1"/>
  <c r="R219" i="3" s="1"/>
  <c r="R220" i="3" s="1"/>
  <c r="R221" i="3" s="1"/>
  <c r="R222" i="3" s="1"/>
  <c r="R223" i="3" s="1"/>
  <c r="R224" i="3" s="1"/>
  <c r="R225" i="3" s="1"/>
  <c r="R226" i="3" s="1"/>
  <c r="R227" i="3" s="1"/>
  <c r="R228" i="3" s="1"/>
  <c r="R229" i="3" s="1"/>
  <c r="R230" i="3" s="1"/>
  <c r="R231" i="3" s="1"/>
  <c r="R232" i="3" s="1"/>
  <c r="R233" i="3" s="1"/>
  <c r="R234" i="3" s="1"/>
  <c r="R235" i="3" s="1"/>
  <c r="R236" i="3" s="1"/>
  <c r="R237" i="3" s="1"/>
  <c r="R238" i="3" s="1"/>
  <c r="R239" i="3" s="1"/>
  <c r="R240" i="3" s="1"/>
  <c r="R241" i="3" s="1"/>
  <c r="R242" i="3" s="1"/>
  <c r="R243" i="3" s="1"/>
  <c r="R244" i="3" s="1"/>
  <c r="R245" i="3" s="1"/>
  <c r="R246" i="3" s="1"/>
  <c r="R247" i="3" s="1"/>
  <c r="R248" i="3" s="1"/>
  <c r="R249" i="3" s="1"/>
  <c r="R250" i="3" s="1"/>
  <c r="R251" i="3" s="1"/>
  <c r="R252" i="3" s="1"/>
  <c r="R253" i="3" s="1"/>
  <c r="R254" i="3" s="1"/>
  <c r="R255" i="3" s="1"/>
  <c r="R256" i="3" s="1"/>
  <c r="R257" i="3" s="1"/>
  <c r="R258" i="3" s="1"/>
  <c r="R259" i="3" s="1"/>
  <c r="R260" i="3" s="1"/>
  <c r="R261" i="3" s="1"/>
  <c r="R262" i="3" s="1"/>
  <c r="R263" i="3" s="1"/>
  <c r="R264" i="3" s="1"/>
  <c r="R265" i="3" s="1"/>
  <c r="R266" i="3" s="1"/>
  <c r="R267" i="3" s="1"/>
  <c r="R268" i="3" s="1"/>
  <c r="R269" i="3" s="1"/>
  <c r="R270" i="3" s="1"/>
  <c r="R271" i="3" s="1"/>
  <c r="R272" i="3" s="1"/>
  <c r="R273" i="3" s="1"/>
  <c r="R274" i="3" s="1"/>
  <c r="R275" i="3" s="1"/>
  <c r="R276" i="3" s="1"/>
  <c r="R277" i="3" s="1"/>
  <c r="R278" i="3" s="1"/>
  <c r="R279" i="3" s="1"/>
  <c r="R280" i="3" s="1"/>
  <c r="R281" i="3" s="1"/>
  <c r="R282" i="3" s="1"/>
  <c r="R283" i="3" s="1"/>
  <c r="R284" i="3" s="1"/>
  <c r="R285" i="3" s="1"/>
  <c r="R286" i="3" s="1"/>
  <c r="R287" i="3" s="1"/>
  <c r="R288" i="3" s="1"/>
  <c r="R289" i="3" s="1"/>
  <c r="R290" i="3" s="1"/>
  <c r="R291" i="3" s="1"/>
  <c r="R292" i="3" s="1"/>
  <c r="R293" i="3" s="1"/>
  <c r="R294" i="3" s="1"/>
  <c r="R295" i="3" s="1"/>
  <c r="R296" i="3" s="1"/>
  <c r="R297" i="3" s="1"/>
  <c r="R298" i="3" s="1"/>
  <c r="R299" i="3" s="1"/>
  <c r="R300" i="3" s="1"/>
  <c r="R301" i="3" s="1"/>
  <c r="R302" i="3" s="1"/>
  <c r="R303" i="3" s="1"/>
  <c r="R304" i="3" s="1"/>
  <c r="R305" i="3" s="1"/>
  <c r="R306" i="3" s="1"/>
  <c r="R307" i="3" s="1"/>
  <c r="R308" i="3" s="1"/>
  <c r="R309" i="3" s="1"/>
  <c r="R310" i="3" s="1"/>
  <c r="R311" i="3" s="1"/>
  <c r="R312" i="3" s="1"/>
  <c r="R313" i="3" s="1"/>
  <c r="R314" i="3" s="1"/>
  <c r="R315" i="3" s="1"/>
  <c r="R316" i="3" s="1"/>
  <c r="R317" i="3" s="1"/>
  <c r="R318" i="3" s="1"/>
  <c r="R319" i="3" s="1"/>
  <c r="R320" i="3" s="1"/>
  <c r="R321" i="3" s="1"/>
  <c r="R322" i="3" s="1"/>
  <c r="R323" i="3" s="1"/>
  <c r="R324" i="3" s="1"/>
  <c r="R325" i="3" s="1"/>
  <c r="R326" i="3" s="1"/>
  <c r="R327" i="3" s="1"/>
  <c r="R328" i="3" s="1"/>
  <c r="R329" i="3" s="1"/>
  <c r="R330" i="3" s="1"/>
  <c r="R331" i="3" s="1"/>
  <c r="R332" i="3" s="1"/>
  <c r="R333" i="3" s="1"/>
  <c r="R334" i="3" s="1"/>
  <c r="R335" i="3" s="1"/>
  <c r="R336" i="3" s="1"/>
  <c r="R337" i="3" s="1"/>
  <c r="R338" i="3" s="1"/>
  <c r="R339" i="3" s="1"/>
  <c r="R340" i="3" s="1"/>
  <c r="R341" i="3" s="1"/>
  <c r="R342" i="3" s="1"/>
  <c r="R343" i="3" s="1"/>
  <c r="R344" i="3" s="1"/>
  <c r="R345" i="3" s="1"/>
  <c r="R346" i="3" s="1"/>
  <c r="R347" i="3" s="1"/>
  <c r="R348" i="3" s="1"/>
  <c r="R349" i="3" s="1"/>
  <c r="R350" i="3" s="1"/>
  <c r="R351" i="3" s="1"/>
  <c r="R352" i="3" s="1"/>
  <c r="R353" i="3" s="1"/>
  <c r="R354" i="3" s="1"/>
  <c r="R355" i="3" s="1"/>
  <c r="R356" i="3" s="1"/>
  <c r="R357" i="3" s="1"/>
  <c r="R358" i="3" s="1"/>
  <c r="R359" i="3" s="1"/>
  <c r="R360" i="3" s="1"/>
  <c r="R361" i="3" s="1"/>
  <c r="R362" i="3" s="1"/>
  <c r="R363" i="3" s="1"/>
  <c r="R364" i="3" s="1"/>
  <c r="R365" i="3" s="1"/>
  <c r="R366" i="3" s="1"/>
  <c r="R367" i="3" s="1"/>
  <c r="R368" i="3" s="1"/>
  <c r="R369" i="3" s="1"/>
  <c r="R370" i="3" s="1"/>
  <c r="R371" i="3" s="1"/>
  <c r="R372" i="3" s="1"/>
  <c r="R373" i="3" s="1"/>
  <c r="R374" i="3" s="1"/>
  <c r="R375" i="3" s="1"/>
  <c r="R376" i="3" s="1"/>
  <c r="R377" i="3" s="1"/>
  <c r="R378" i="3" s="1"/>
  <c r="R379" i="3" s="1"/>
  <c r="R380" i="3" s="1"/>
  <c r="R381" i="3" s="1"/>
  <c r="R382" i="3" s="1"/>
  <c r="R383" i="3" s="1"/>
  <c r="R384" i="3" s="1"/>
  <c r="R385" i="3" s="1"/>
  <c r="R386" i="3" s="1"/>
  <c r="R387" i="3" s="1"/>
  <c r="R388" i="3" s="1"/>
  <c r="R389" i="3" s="1"/>
  <c r="R390" i="3" s="1"/>
  <c r="R391" i="3" s="1"/>
  <c r="R392" i="3" s="1"/>
  <c r="R393" i="3" s="1"/>
  <c r="R394" i="3" s="1"/>
  <c r="R395" i="3" s="1"/>
  <c r="R396" i="3" s="1"/>
  <c r="R397" i="3" s="1"/>
  <c r="R398" i="3" s="1"/>
  <c r="R399" i="3" s="1"/>
  <c r="R400" i="3" s="1"/>
  <c r="R401" i="3" s="1"/>
  <c r="R402" i="3" s="1"/>
  <c r="R403" i="3" s="1"/>
  <c r="R404" i="3" s="1"/>
  <c r="R405" i="3" s="1"/>
  <c r="R406" i="3" s="1"/>
  <c r="R407" i="3" s="1"/>
  <c r="R408" i="3" s="1"/>
  <c r="R409" i="3" s="1"/>
  <c r="R410" i="3" s="1"/>
  <c r="R411" i="3" s="1"/>
  <c r="R412" i="3" s="1"/>
  <c r="R413" i="3" s="1"/>
  <c r="R414" i="3" s="1"/>
  <c r="R415" i="3" s="1"/>
  <c r="R416" i="3" s="1"/>
  <c r="R417" i="3" s="1"/>
  <c r="R418" i="3" s="1"/>
  <c r="R419" i="3" s="1"/>
  <c r="R420" i="3" s="1"/>
  <c r="R421" i="3" s="1"/>
  <c r="R422" i="3" s="1"/>
  <c r="R423" i="3" s="1"/>
  <c r="R424" i="3" s="1"/>
  <c r="R425" i="3" s="1"/>
  <c r="R426" i="3" s="1"/>
  <c r="R427" i="3" s="1"/>
  <c r="R428" i="3" s="1"/>
  <c r="R429" i="3" s="1"/>
  <c r="R430" i="3" s="1"/>
  <c r="R431" i="3" s="1"/>
  <c r="R432" i="3" s="1"/>
  <c r="R433" i="3" s="1"/>
  <c r="R434" i="3" s="1"/>
  <c r="R435" i="3" s="1"/>
  <c r="Q70" i="3"/>
  <c r="T21" i="3" l="1"/>
  <c r="U21" i="3" s="1"/>
  <c r="Z21" i="3"/>
  <c r="AA21" i="3" s="1"/>
  <c r="F22" i="3"/>
  <c r="G22" i="3"/>
  <c r="V22" i="3" s="1"/>
  <c r="I23" i="3"/>
  <c r="K23" i="3" s="1"/>
  <c r="E23" i="3"/>
  <c r="D24" i="3"/>
  <c r="I24" i="3"/>
  <c r="K24" i="3" s="1"/>
  <c r="H25" i="3"/>
  <c r="H26" i="3" s="1"/>
  <c r="B80" i="3"/>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Q23" i="3"/>
  <c r="S23" i="3" s="1"/>
  <c r="S66" i="3"/>
  <c r="S68" i="3"/>
  <c r="S67" i="3"/>
  <c r="S69" i="3"/>
  <c r="S70" i="3"/>
  <c r="Q71" i="3"/>
  <c r="M23" i="3"/>
  <c r="Z22" i="3"/>
  <c r="T22" i="3"/>
  <c r="F23" i="3" l="1"/>
  <c r="G23" i="3"/>
  <c r="V23" i="3" s="1"/>
  <c r="E24" i="3"/>
  <c r="J23" i="3"/>
  <c r="J24" i="3" s="1"/>
  <c r="D25" i="3"/>
  <c r="I25" i="3"/>
  <c r="K25" i="3" s="1"/>
  <c r="AA22" i="3"/>
  <c r="H27" i="3"/>
  <c r="I26" i="3"/>
  <c r="K26" i="3" s="1"/>
  <c r="B111" i="3"/>
  <c r="Q24" i="3"/>
  <c r="Q25" i="3" s="1"/>
  <c r="U22" i="3"/>
  <c r="S71" i="3"/>
  <c r="Q72" i="3"/>
  <c r="M24" i="3"/>
  <c r="Z23" i="3"/>
  <c r="T23" i="3"/>
  <c r="F24" i="3" l="1"/>
  <c r="G24" i="3"/>
  <c r="V24" i="3" s="1"/>
  <c r="E25" i="3"/>
  <c r="J25" i="3"/>
  <c r="J26" i="3" s="1"/>
  <c r="D26" i="3"/>
  <c r="AA23" i="3"/>
  <c r="H28" i="3"/>
  <c r="I27" i="3"/>
  <c r="K27" i="3" s="1"/>
  <c r="B112" i="3"/>
  <c r="S24" i="3"/>
  <c r="T24" i="3" s="1"/>
  <c r="U23" i="3"/>
  <c r="S25" i="3"/>
  <c r="Q26" i="3"/>
  <c r="M25" i="3"/>
  <c r="Z24" i="3"/>
  <c r="S72" i="3"/>
  <c r="Q73" i="3"/>
  <c r="F25" i="3" l="1"/>
  <c r="G25" i="3"/>
  <c r="V25" i="3" s="1"/>
  <c r="E26" i="3"/>
  <c r="AA24" i="3"/>
  <c r="D27" i="3"/>
  <c r="J27" i="3"/>
  <c r="H29" i="3"/>
  <c r="I28" i="3"/>
  <c r="B113" i="3"/>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U24" i="3"/>
  <c r="S73" i="3"/>
  <c r="Q74" i="3"/>
  <c r="M26" i="3"/>
  <c r="T25" i="3"/>
  <c r="Z25" i="3"/>
  <c r="S26" i="3"/>
  <c r="Q27" i="3"/>
  <c r="F26" i="3" l="1"/>
  <c r="G26" i="3"/>
  <c r="V26" i="3" s="1"/>
  <c r="E27" i="3"/>
  <c r="AA25" i="3"/>
  <c r="D28" i="3"/>
  <c r="J28" i="3"/>
  <c r="K28" i="3"/>
  <c r="H30" i="3"/>
  <c r="I29" i="3"/>
  <c r="K29" i="3" s="1"/>
  <c r="U25" i="3"/>
  <c r="B141" i="3"/>
  <c r="S27" i="3"/>
  <c r="Q28" i="3"/>
  <c r="M27" i="3"/>
  <c r="Z26" i="3"/>
  <c r="T26" i="3"/>
  <c r="S74" i="3"/>
  <c r="Q75" i="3"/>
  <c r="AA26" i="3" l="1"/>
  <c r="F27" i="3"/>
  <c r="G27" i="3"/>
  <c r="V27" i="3" s="1"/>
  <c r="E28" i="3"/>
  <c r="D29" i="3"/>
  <c r="H31" i="3"/>
  <c r="I30" i="3"/>
  <c r="K30" i="3" s="1"/>
  <c r="J29" i="3"/>
  <c r="U26" i="3"/>
  <c r="B142" i="3"/>
  <c r="S28" i="3"/>
  <c r="Q29" i="3"/>
  <c r="S75" i="3"/>
  <c r="Q76" i="3"/>
  <c r="M28" i="3"/>
  <c r="Z27" i="3"/>
  <c r="T27" i="3"/>
  <c r="AA27" i="3" l="1"/>
  <c r="F28" i="3"/>
  <c r="G28" i="3"/>
  <c r="V28" i="3" s="1"/>
  <c r="E29" i="3"/>
  <c r="D30" i="3"/>
  <c r="J30" i="3"/>
  <c r="H32" i="3"/>
  <c r="I31" i="3"/>
  <c r="K31" i="3" s="1"/>
  <c r="U27" i="3"/>
  <c r="B143" i="3"/>
  <c r="S29" i="3"/>
  <c r="Q30" i="3"/>
  <c r="M29" i="3"/>
  <c r="Z28" i="3"/>
  <c r="T28" i="3"/>
  <c r="S76" i="3"/>
  <c r="Q77" i="3"/>
  <c r="AA28" i="3" l="1"/>
  <c r="F29" i="3"/>
  <c r="G29" i="3"/>
  <c r="V29" i="3" s="1"/>
  <c r="E30" i="3"/>
  <c r="D31" i="3"/>
  <c r="J31" i="3"/>
  <c r="U28" i="3"/>
  <c r="H33" i="3"/>
  <c r="I32" i="3"/>
  <c r="K32" i="3" s="1"/>
  <c r="B144" i="3"/>
  <c r="S77" i="3"/>
  <c r="Q78" i="3"/>
  <c r="M30" i="3"/>
  <c r="T29" i="3"/>
  <c r="Z29" i="3"/>
  <c r="S30" i="3"/>
  <c r="Q31" i="3"/>
  <c r="AA29" i="3" l="1"/>
  <c r="F30" i="3"/>
  <c r="G30" i="3"/>
  <c r="V30" i="3" s="1"/>
  <c r="E31" i="3"/>
  <c r="D32" i="3"/>
  <c r="U29" i="3"/>
  <c r="J32" i="3"/>
  <c r="H34" i="3"/>
  <c r="I33" i="3"/>
  <c r="K33" i="3" s="1"/>
  <c r="B145" i="3"/>
  <c r="S78" i="3"/>
  <c r="Q79" i="3"/>
  <c r="S31" i="3"/>
  <c r="Q32" i="3"/>
  <c r="M31" i="3"/>
  <c r="Z30" i="3"/>
  <c r="T30" i="3"/>
  <c r="AA30" i="3" l="1"/>
  <c r="F31" i="3"/>
  <c r="G31" i="3"/>
  <c r="V31" i="3" s="1"/>
  <c r="U30" i="3"/>
  <c r="E32" i="3"/>
  <c r="D33" i="3"/>
  <c r="J33" i="3"/>
  <c r="H35" i="3"/>
  <c r="I34" i="3"/>
  <c r="K34" i="3" s="1"/>
  <c r="B146" i="3"/>
  <c r="S79" i="3"/>
  <c r="Q80" i="3"/>
  <c r="M32" i="3"/>
  <c r="Z31" i="3"/>
  <c r="T31" i="3"/>
  <c r="S32" i="3"/>
  <c r="Q33" i="3"/>
  <c r="AA31" i="3" l="1"/>
  <c r="U31" i="3"/>
  <c r="F32" i="3"/>
  <c r="G32" i="3"/>
  <c r="V32" i="3" s="1"/>
  <c r="E33" i="3"/>
  <c r="D34" i="3"/>
  <c r="J34" i="3"/>
  <c r="H36" i="3"/>
  <c r="I35" i="3"/>
  <c r="K35" i="3" s="1"/>
  <c r="B147" i="3"/>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S80" i="3"/>
  <c r="Q81" i="3"/>
  <c r="S33" i="3"/>
  <c r="Q34" i="3"/>
  <c r="M33" i="3"/>
  <c r="Z32" i="3"/>
  <c r="T32" i="3"/>
  <c r="AA32" i="3" l="1"/>
  <c r="U32" i="3"/>
  <c r="F33" i="3"/>
  <c r="G33" i="3"/>
  <c r="V33" i="3" s="1"/>
  <c r="E34" i="3"/>
  <c r="D35" i="3"/>
  <c r="J35" i="3"/>
  <c r="H37" i="3"/>
  <c r="I36" i="3"/>
  <c r="K36" i="3" s="1"/>
  <c r="B172" i="3"/>
  <c r="S81" i="3"/>
  <c r="Q82" i="3"/>
  <c r="M34" i="3"/>
  <c r="T33" i="3"/>
  <c r="Z33" i="3"/>
  <c r="S34" i="3"/>
  <c r="Q35" i="3"/>
  <c r="AA33" i="3" l="1"/>
  <c r="U33" i="3"/>
  <c r="F34" i="3"/>
  <c r="G34" i="3"/>
  <c r="V34" i="3" s="1"/>
  <c r="E35" i="3"/>
  <c r="D36" i="3"/>
  <c r="H38" i="3"/>
  <c r="I37" i="3"/>
  <c r="K37" i="3" s="1"/>
  <c r="J36" i="3"/>
  <c r="B173" i="3"/>
  <c r="S35" i="3"/>
  <c r="Q36" i="3"/>
  <c r="M35" i="3"/>
  <c r="Z34" i="3"/>
  <c r="T34" i="3"/>
  <c r="S82" i="3"/>
  <c r="Q83" i="3"/>
  <c r="AA34" i="3" l="1"/>
  <c r="U34" i="3"/>
  <c r="F35" i="3"/>
  <c r="G35" i="3"/>
  <c r="V35" i="3" s="1"/>
  <c r="E36" i="3"/>
  <c r="D37" i="3"/>
  <c r="H39" i="3"/>
  <c r="I38" i="3"/>
  <c r="K38" i="3" s="1"/>
  <c r="J37" i="3"/>
  <c r="B174" i="3"/>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S83" i="3"/>
  <c r="Q84" i="3"/>
  <c r="M36" i="3"/>
  <c r="Z35" i="3"/>
  <c r="T35" i="3"/>
  <c r="S36" i="3"/>
  <c r="Q37" i="3"/>
  <c r="AA35" i="3" l="1"/>
  <c r="U35" i="3"/>
  <c r="F36" i="3"/>
  <c r="G36" i="3"/>
  <c r="V36" i="3" s="1"/>
  <c r="E37" i="3"/>
  <c r="D38" i="3"/>
  <c r="J38" i="3"/>
  <c r="H40" i="3"/>
  <c r="I39" i="3"/>
  <c r="K39" i="3" s="1"/>
  <c r="B202" i="3"/>
  <c r="S84" i="3"/>
  <c r="Q85" i="3"/>
  <c r="S37" i="3"/>
  <c r="Q38" i="3"/>
  <c r="M37" i="3"/>
  <c r="Z36" i="3"/>
  <c r="T36" i="3"/>
  <c r="AA36" i="3" l="1"/>
  <c r="U36" i="3"/>
  <c r="F37" i="3"/>
  <c r="G37" i="3"/>
  <c r="V37" i="3" s="1"/>
  <c r="E38" i="3"/>
  <c r="D39" i="3"/>
  <c r="H41" i="3"/>
  <c r="I40" i="3"/>
  <c r="K40" i="3" s="1"/>
  <c r="J39" i="3"/>
  <c r="B203" i="3"/>
  <c r="S85" i="3"/>
  <c r="Q86" i="3"/>
  <c r="M38" i="3"/>
  <c r="Z37" i="3"/>
  <c r="T37" i="3"/>
  <c r="U37" i="3" s="1"/>
  <c r="S38" i="3"/>
  <c r="Q39" i="3"/>
  <c r="AA37" i="3" l="1"/>
  <c r="F38" i="3"/>
  <c r="G38" i="3"/>
  <c r="V38" i="3" s="1"/>
  <c r="E39" i="3"/>
  <c r="D40" i="3"/>
  <c r="J40" i="3"/>
  <c r="H42" i="3"/>
  <c r="I41" i="3"/>
  <c r="K41" i="3" s="1"/>
  <c r="B204" i="3"/>
  <c r="S39" i="3"/>
  <c r="Q40" i="3"/>
  <c r="M39" i="3"/>
  <c r="Z38" i="3"/>
  <c r="T38" i="3"/>
  <c r="U38" i="3" s="1"/>
  <c r="S86" i="3"/>
  <c r="Q87" i="3"/>
  <c r="AA38" i="3" l="1"/>
  <c r="F39" i="3"/>
  <c r="G39" i="3"/>
  <c r="V39" i="3" s="1"/>
  <c r="E40" i="3"/>
  <c r="D41" i="3"/>
  <c r="H43" i="3"/>
  <c r="I42" i="3"/>
  <c r="K42" i="3" s="1"/>
  <c r="J41" i="3"/>
  <c r="B205" i="3"/>
  <c r="S40" i="3"/>
  <c r="Q41" i="3"/>
  <c r="S87" i="3"/>
  <c r="Q88" i="3"/>
  <c r="M40" i="3"/>
  <c r="Z39" i="3"/>
  <c r="T39" i="3"/>
  <c r="U39" i="3" s="1"/>
  <c r="AA39" i="3" l="1"/>
  <c r="F40" i="3"/>
  <c r="G40" i="3"/>
  <c r="V40" i="3" s="1"/>
  <c r="E41" i="3"/>
  <c r="D42" i="3"/>
  <c r="J42" i="3"/>
  <c r="H44" i="3"/>
  <c r="I43" i="3"/>
  <c r="K43" i="3" s="1"/>
  <c r="B206" i="3"/>
  <c r="S41" i="3"/>
  <c r="Q42" i="3"/>
  <c r="M41" i="3"/>
  <c r="Z40" i="3"/>
  <c r="T40" i="3"/>
  <c r="U40" i="3" s="1"/>
  <c r="S88" i="3"/>
  <c r="Q89" i="3"/>
  <c r="AA40" i="3" l="1"/>
  <c r="F41" i="3"/>
  <c r="G41" i="3"/>
  <c r="V41" i="3" s="1"/>
  <c r="E42" i="3"/>
  <c r="D43" i="3"/>
  <c r="J43" i="3"/>
  <c r="H45" i="3"/>
  <c r="I44" i="3"/>
  <c r="K44" i="3" s="1"/>
  <c r="B207" i="3"/>
  <c r="S89" i="3"/>
  <c r="Q90" i="3"/>
  <c r="M42" i="3"/>
  <c r="T41" i="3"/>
  <c r="U41" i="3" s="1"/>
  <c r="Z41" i="3"/>
  <c r="S42" i="3"/>
  <c r="Q43" i="3"/>
  <c r="AA41" i="3" l="1"/>
  <c r="F42" i="3"/>
  <c r="G42" i="3"/>
  <c r="V42" i="3" s="1"/>
  <c r="E43" i="3"/>
  <c r="D44" i="3"/>
  <c r="J44" i="3"/>
  <c r="H46" i="3"/>
  <c r="I45" i="3"/>
  <c r="K45" i="3" s="1"/>
  <c r="B208" i="3"/>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S90" i="3"/>
  <c r="Q91" i="3"/>
  <c r="S43" i="3"/>
  <c r="Q44" i="3"/>
  <c r="M43" i="3"/>
  <c r="Z42" i="3"/>
  <c r="T42" i="3"/>
  <c r="U42" i="3" s="1"/>
  <c r="AA42" i="3" l="1"/>
  <c r="F43" i="3"/>
  <c r="G43" i="3"/>
  <c r="V43" i="3" s="1"/>
  <c r="E44" i="3"/>
  <c r="D45" i="3"/>
  <c r="H47" i="3"/>
  <c r="I46" i="3"/>
  <c r="K46" i="3" s="1"/>
  <c r="J45" i="3"/>
  <c r="B233" i="3"/>
  <c r="S91" i="3"/>
  <c r="Q92" i="3"/>
  <c r="M44" i="3"/>
  <c r="Z43" i="3"/>
  <c r="T43" i="3"/>
  <c r="U43" i="3" s="1"/>
  <c r="S44" i="3"/>
  <c r="Q45" i="3"/>
  <c r="AA43" i="3" l="1"/>
  <c r="F44" i="3"/>
  <c r="G44" i="3"/>
  <c r="V44" i="3" s="1"/>
  <c r="E45" i="3"/>
  <c r="D46" i="3"/>
  <c r="H48" i="3"/>
  <c r="I47" i="3"/>
  <c r="K47" i="3" s="1"/>
  <c r="J46" i="3"/>
  <c r="B234" i="3"/>
  <c r="S92" i="3"/>
  <c r="Q93" i="3"/>
  <c r="S45" i="3"/>
  <c r="Q46" i="3"/>
  <c r="M45" i="3"/>
  <c r="Z44" i="3"/>
  <c r="T44" i="3"/>
  <c r="U44" i="3" s="1"/>
  <c r="AA44" i="3" l="1"/>
  <c r="F45" i="3"/>
  <c r="G45" i="3"/>
  <c r="V45" i="3" s="1"/>
  <c r="E46" i="3"/>
  <c r="D47" i="3"/>
  <c r="J47" i="3"/>
  <c r="H49" i="3"/>
  <c r="I48" i="3"/>
  <c r="K48" i="3" s="1"/>
  <c r="B235" i="3"/>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S46" i="3"/>
  <c r="Q47" i="3"/>
  <c r="S93" i="3"/>
  <c r="Q94" i="3"/>
  <c r="M46" i="3"/>
  <c r="T45" i="3"/>
  <c r="U45" i="3" s="1"/>
  <c r="Z45" i="3"/>
  <c r="AA45" i="3" l="1"/>
  <c r="F46" i="3"/>
  <c r="G46" i="3"/>
  <c r="V46" i="3" s="1"/>
  <c r="E47" i="3"/>
  <c r="D48" i="3"/>
  <c r="J48" i="3"/>
  <c r="H50" i="3"/>
  <c r="I49" i="3"/>
  <c r="K49" i="3" s="1"/>
  <c r="B264" i="3"/>
  <c r="M47" i="3"/>
  <c r="Z46" i="3"/>
  <c r="T46" i="3"/>
  <c r="U46" i="3" s="1"/>
  <c r="S94" i="3"/>
  <c r="Q95" i="3"/>
  <c r="S47" i="3"/>
  <c r="Q48" i="3"/>
  <c r="AA46" i="3" l="1"/>
  <c r="F47" i="3"/>
  <c r="G47" i="3"/>
  <c r="V47" i="3" s="1"/>
  <c r="E48" i="3"/>
  <c r="D49" i="3"/>
  <c r="J49" i="3"/>
  <c r="H51" i="3"/>
  <c r="I50" i="3"/>
  <c r="K50" i="3" s="1"/>
  <c r="B265" i="3"/>
  <c r="S95" i="3"/>
  <c r="Q96" i="3"/>
  <c r="M48" i="3"/>
  <c r="Z47" i="3"/>
  <c r="T47" i="3"/>
  <c r="U47" i="3" s="1"/>
  <c r="S48" i="3"/>
  <c r="Q49" i="3"/>
  <c r="AA47" i="3" l="1"/>
  <c r="F48" i="3"/>
  <c r="G48" i="3"/>
  <c r="V48" i="3" s="1"/>
  <c r="E49" i="3"/>
  <c r="D50" i="3"/>
  <c r="J50" i="3"/>
  <c r="H52" i="3"/>
  <c r="I51" i="3"/>
  <c r="K51" i="3" s="1"/>
  <c r="B266" i="3"/>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S96" i="3"/>
  <c r="Q97" i="3"/>
  <c r="S49" i="3"/>
  <c r="Q50" i="3"/>
  <c r="M49" i="3"/>
  <c r="Z48" i="3"/>
  <c r="T48" i="3"/>
  <c r="U48" i="3" s="1"/>
  <c r="AA48" i="3" l="1"/>
  <c r="F49" i="3"/>
  <c r="G49" i="3"/>
  <c r="V49" i="3" s="1"/>
  <c r="E50" i="3"/>
  <c r="D51" i="3"/>
  <c r="H53" i="3"/>
  <c r="I52" i="3"/>
  <c r="K52" i="3" s="1"/>
  <c r="J51" i="3"/>
  <c r="B294" i="3"/>
  <c r="S97" i="3"/>
  <c r="Q98" i="3"/>
  <c r="M50" i="3"/>
  <c r="T49" i="3"/>
  <c r="U49" i="3" s="1"/>
  <c r="Z49" i="3"/>
  <c r="S50" i="3"/>
  <c r="Q51" i="3"/>
  <c r="AA49" i="3" l="1"/>
  <c r="F50" i="3"/>
  <c r="G50" i="3"/>
  <c r="V50" i="3" s="1"/>
  <c r="E51" i="3"/>
  <c r="D52" i="3"/>
  <c r="J52" i="3"/>
  <c r="H54" i="3"/>
  <c r="I53" i="3"/>
  <c r="K53" i="3" s="1"/>
  <c r="B295" i="3"/>
  <c r="S51" i="3"/>
  <c r="Q52" i="3"/>
  <c r="S52" i="3" s="1"/>
  <c r="M51" i="3"/>
  <c r="Z50" i="3"/>
  <c r="T50" i="3"/>
  <c r="U50" i="3" s="1"/>
  <c r="S98" i="3"/>
  <c r="Q99" i="3"/>
  <c r="AA50" i="3" l="1"/>
  <c r="F51" i="3"/>
  <c r="G51" i="3"/>
  <c r="E52" i="3"/>
  <c r="D53" i="3"/>
  <c r="J53" i="3"/>
  <c r="H55" i="3"/>
  <c r="I54" i="3"/>
  <c r="K54" i="3" s="1"/>
  <c r="B296" i="3"/>
  <c r="S99" i="3"/>
  <c r="Q100" i="3"/>
  <c r="M52" i="3"/>
  <c r="Z51" i="3"/>
  <c r="T51" i="3"/>
  <c r="Q53" i="3"/>
  <c r="AA51" i="3" l="1"/>
  <c r="F52" i="3"/>
  <c r="G52" i="3"/>
  <c r="V52" i="3" s="1"/>
  <c r="E53" i="3"/>
  <c r="D54" i="3"/>
  <c r="H56" i="3"/>
  <c r="I55" i="3"/>
  <c r="K55" i="3" s="1"/>
  <c r="J54" i="3"/>
  <c r="U51" i="3"/>
  <c r="B297" i="3"/>
  <c r="S100" i="3"/>
  <c r="Q101" i="3"/>
  <c r="S53" i="3"/>
  <c r="Q54" i="3"/>
  <c r="M53" i="3"/>
  <c r="Z52" i="3"/>
  <c r="AA52" i="3" s="1"/>
  <c r="T52" i="3"/>
  <c r="F53" i="3" l="1"/>
  <c r="G53" i="3"/>
  <c r="V53" i="3" s="1"/>
  <c r="E54" i="3"/>
  <c r="D55" i="3"/>
  <c r="J55" i="3"/>
  <c r="H57" i="3"/>
  <c r="I56" i="3"/>
  <c r="K56" i="3" s="1"/>
  <c r="U52" i="3"/>
  <c r="B298" i="3"/>
  <c r="S101" i="3"/>
  <c r="Q102" i="3"/>
  <c r="M54" i="3"/>
  <c r="Z53" i="3"/>
  <c r="AA53" i="3" s="1"/>
  <c r="T53" i="3"/>
  <c r="S54" i="3"/>
  <c r="Q55" i="3"/>
  <c r="F54" i="3" l="1"/>
  <c r="G54" i="3"/>
  <c r="V54" i="3" s="1"/>
  <c r="E55" i="3"/>
  <c r="D56" i="3"/>
  <c r="H58" i="3"/>
  <c r="I57" i="3"/>
  <c r="K57" i="3" s="1"/>
  <c r="J56" i="3"/>
  <c r="U53" i="3"/>
  <c r="B299" i="3"/>
  <c r="S55" i="3"/>
  <c r="Q56" i="3"/>
  <c r="M55" i="3"/>
  <c r="Z54" i="3"/>
  <c r="AA54" i="3" s="1"/>
  <c r="T54" i="3"/>
  <c r="S102" i="3"/>
  <c r="Q103" i="3"/>
  <c r="F55" i="3" l="1"/>
  <c r="G55" i="3"/>
  <c r="V55" i="3" s="1"/>
  <c r="E56" i="3"/>
  <c r="D57" i="3"/>
  <c r="J57" i="3"/>
  <c r="H59" i="3"/>
  <c r="I58" i="3"/>
  <c r="K58" i="3" s="1"/>
  <c r="U54" i="3"/>
  <c r="B300" i="3"/>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S56" i="3"/>
  <c r="Q57" i="3"/>
  <c r="S103" i="3"/>
  <c r="Q104" i="3"/>
  <c r="M56" i="3"/>
  <c r="Z55" i="3"/>
  <c r="AA55" i="3" s="1"/>
  <c r="T55" i="3"/>
  <c r="F56" i="3" l="1"/>
  <c r="G56" i="3"/>
  <c r="V56" i="3" s="1"/>
  <c r="E57" i="3"/>
  <c r="D58" i="3"/>
  <c r="J58" i="3"/>
  <c r="H60" i="3"/>
  <c r="I59" i="3"/>
  <c r="K59" i="3" s="1"/>
  <c r="U55" i="3"/>
  <c r="B325" i="3"/>
  <c r="S57" i="3"/>
  <c r="Q58" i="3"/>
  <c r="M57" i="3"/>
  <c r="Z56" i="3"/>
  <c r="AA56" i="3" s="1"/>
  <c r="T56" i="3"/>
  <c r="S104" i="3"/>
  <c r="Q105" i="3"/>
  <c r="F57" i="3" l="1"/>
  <c r="G57" i="3"/>
  <c r="V57" i="3" s="1"/>
  <c r="E58" i="3"/>
  <c r="D59" i="3"/>
  <c r="H61" i="3"/>
  <c r="I60" i="3"/>
  <c r="K60" i="3" s="1"/>
  <c r="J59" i="3"/>
  <c r="U56" i="3"/>
  <c r="B326" i="3"/>
  <c r="S105" i="3"/>
  <c r="Q106" i="3"/>
  <c r="M58" i="3"/>
  <c r="T57" i="3"/>
  <c r="Z57" i="3"/>
  <c r="AA57" i="3" s="1"/>
  <c r="S58" i="3"/>
  <c r="Q59" i="3"/>
  <c r="F58" i="3" l="1"/>
  <c r="G58" i="3"/>
  <c r="V58" i="3" s="1"/>
  <c r="E59" i="3"/>
  <c r="D60" i="3"/>
  <c r="J60" i="3"/>
  <c r="H62" i="3"/>
  <c r="I61" i="3"/>
  <c r="K61" i="3" s="1"/>
  <c r="U57" i="3"/>
  <c r="B327" i="3"/>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S106" i="3"/>
  <c r="Q107" i="3"/>
  <c r="S59" i="3"/>
  <c r="Q60" i="3"/>
  <c r="M59" i="3"/>
  <c r="Z58" i="3"/>
  <c r="AA58" i="3" s="1"/>
  <c r="T58" i="3"/>
  <c r="U58" i="3" l="1"/>
  <c r="F59" i="3"/>
  <c r="G59" i="3"/>
  <c r="V59" i="3" s="1"/>
  <c r="E60" i="3"/>
  <c r="D61" i="3"/>
  <c r="J61" i="3"/>
  <c r="H63" i="3"/>
  <c r="I62" i="3"/>
  <c r="K62" i="3" s="1"/>
  <c r="B355" i="3"/>
  <c r="S107" i="3"/>
  <c r="Q108" i="3"/>
  <c r="S60" i="3"/>
  <c r="Q61" i="3"/>
  <c r="M60" i="3"/>
  <c r="Z59" i="3"/>
  <c r="AA59" i="3" s="1"/>
  <c r="T59" i="3"/>
  <c r="U59" i="3" l="1"/>
  <c r="F60" i="3"/>
  <c r="G60" i="3"/>
  <c r="V60" i="3" s="1"/>
  <c r="E61" i="3"/>
  <c r="D62" i="3"/>
  <c r="H64" i="3"/>
  <c r="I63" i="3"/>
  <c r="K63" i="3" s="1"/>
  <c r="J62" i="3"/>
  <c r="B356" i="3"/>
  <c r="S108" i="3"/>
  <c r="Q109" i="3"/>
  <c r="M61" i="3"/>
  <c r="Z60" i="3"/>
  <c r="AA60" i="3" s="1"/>
  <c r="T60" i="3"/>
  <c r="S61" i="3"/>
  <c r="Q62" i="3"/>
  <c r="U60" i="3" l="1"/>
  <c r="F61" i="3"/>
  <c r="G61" i="3"/>
  <c r="V61" i="3" s="1"/>
  <c r="E62" i="3"/>
  <c r="D63" i="3"/>
  <c r="J63" i="3"/>
  <c r="H65" i="3"/>
  <c r="I64" i="3"/>
  <c r="K64" i="3" s="1"/>
  <c r="B357" i="3"/>
  <c r="S109" i="3"/>
  <c r="Q110" i="3"/>
  <c r="S62" i="3"/>
  <c r="Q63" i="3"/>
  <c r="M62" i="3"/>
  <c r="T61" i="3"/>
  <c r="Z61" i="3"/>
  <c r="AA61" i="3" s="1"/>
  <c r="U61" i="3" l="1"/>
  <c r="F62" i="3"/>
  <c r="G62" i="3"/>
  <c r="V62" i="3" s="1"/>
  <c r="E63" i="3"/>
  <c r="D64" i="3"/>
  <c r="H66" i="3"/>
  <c r="I65" i="3"/>
  <c r="K65" i="3" s="1"/>
  <c r="J64" i="3"/>
  <c r="B358" i="3"/>
  <c r="S110" i="3"/>
  <c r="Q111" i="3"/>
  <c r="M63" i="3"/>
  <c r="Z62" i="3"/>
  <c r="AA62" i="3" s="1"/>
  <c r="T62" i="3"/>
  <c r="S63" i="3"/>
  <c r="Q64" i="3"/>
  <c r="S64" i="3" s="1"/>
  <c r="U62" i="3" l="1"/>
  <c r="F63" i="3"/>
  <c r="G63" i="3"/>
  <c r="V63" i="3" s="1"/>
  <c r="E64" i="3"/>
  <c r="D65" i="3"/>
  <c r="J65" i="3"/>
  <c r="H67" i="3"/>
  <c r="I66" i="3"/>
  <c r="K66" i="3" s="1"/>
  <c r="B359" i="3"/>
  <c r="S111" i="3"/>
  <c r="Q112" i="3"/>
  <c r="M64" i="3"/>
  <c r="Z63" i="3"/>
  <c r="AA63" i="3" s="1"/>
  <c r="T63" i="3"/>
  <c r="U63" i="3" l="1"/>
  <c r="F64" i="3"/>
  <c r="G64" i="3"/>
  <c r="V64" i="3" s="1"/>
  <c r="E65" i="3"/>
  <c r="D66" i="3"/>
  <c r="H68" i="3"/>
  <c r="I67" i="3"/>
  <c r="K67" i="3" s="1"/>
  <c r="J66" i="3"/>
  <c r="B360" i="3"/>
  <c r="B361" i="3" s="1"/>
  <c r="B362" i="3" s="1"/>
  <c r="B363" i="3" s="1"/>
  <c r="B364" i="3" s="1"/>
  <c r="B365" i="3" s="1"/>
  <c r="B366" i="3" s="1"/>
  <c r="B367" i="3" s="1"/>
  <c r="B368" i="3" s="1"/>
  <c r="B369" i="3" s="1"/>
  <c r="B370" i="3" s="1"/>
  <c r="B371" i="3" s="1"/>
  <c r="B372" i="3" s="1"/>
  <c r="B373" i="3" s="1"/>
  <c r="B374" i="3" s="1"/>
  <c r="B375" i="3" s="1"/>
  <c r="B376" i="3" s="1"/>
  <c r="B377" i="3" s="1"/>
  <c r="B378" i="3" s="1"/>
  <c r="B379" i="3" s="1"/>
  <c r="B380" i="3" s="1"/>
  <c r="B381" i="3" s="1"/>
  <c r="B382" i="3" s="1"/>
  <c r="B383" i="3" s="1"/>
  <c r="B384" i="3" s="1"/>
  <c r="B385" i="3" s="1"/>
  <c r="S112" i="3"/>
  <c r="Q113" i="3"/>
  <c r="M65" i="3"/>
  <c r="Z64" i="3"/>
  <c r="AA64" i="3" s="1"/>
  <c r="T64" i="3"/>
  <c r="U64" i="3" s="1"/>
  <c r="F65" i="3" l="1"/>
  <c r="G65" i="3"/>
  <c r="V65" i="3" s="1"/>
  <c r="E66" i="3"/>
  <c r="D67" i="3"/>
  <c r="J67" i="3"/>
  <c r="H69" i="3"/>
  <c r="I68" i="3"/>
  <c r="K68" i="3" s="1"/>
  <c r="B386" i="3"/>
  <c r="B387" i="3" s="1"/>
  <c r="B388" i="3" s="1"/>
  <c r="B389" i="3" s="1"/>
  <c r="B390" i="3" s="1"/>
  <c r="B391" i="3" s="1"/>
  <c r="B392" i="3" s="1"/>
  <c r="B393" i="3" s="1"/>
  <c r="B394" i="3" s="1"/>
  <c r="B395" i="3" s="1"/>
  <c r="B396" i="3" s="1"/>
  <c r="B397" i="3" s="1"/>
  <c r="B398" i="3" s="1"/>
  <c r="B399" i="3" s="1"/>
  <c r="B400" i="3" s="1"/>
  <c r="B401" i="3" s="1"/>
  <c r="B402" i="3" s="1"/>
  <c r="B403" i="3" s="1"/>
  <c r="B404" i="3" s="1"/>
  <c r="B405" i="3" s="1"/>
  <c r="B406" i="3" s="1"/>
  <c r="B407" i="3" s="1"/>
  <c r="B408" i="3" s="1"/>
  <c r="B409" i="3" s="1"/>
  <c r="B410" i="3" s="1"/>
  <c r="B411" i="3" s="1"/>
  <c r="B412" i="3" s="1"/>
  <c r="B413" i="3" s="1"/>
  <c r="B414" i="3" s="1"/>
  <c r="B415" i="3" s="1"/>
  <c r="B416" i="3" s="1"/>
  <c r="S113" i="3"/>
  <c r="Q114" i="3"/>
  <c r="M66" i="3"/>
  <c r="T65" i="3"/>
  <c r="U65" i="3" s="1"/>
  <c r="Z65" i="3"/>
  <c r="AA65" i="3" s="1"/>
  <c r="F66" i="3" l="1"/>
  <c r="G66" i="3"/>
  <c r="V66" i="3" s="1"/>
  <c r="E67" i="3"/>
  <c r="D68" i="3"/>
  <c r="J68" i="3"/>
  <c r="H70" i="3"/>
  <c r="I69" i="3"/>
  <c r="K69" i="3" s="1"/>
  <c r="B417" i="3"/>
  <c r="S114" i="3"/>
  <c r="Q115" i="3"/>
  <c r="M67" i="3"/>
  <c r="Z66" i="3"/>
  <c r="AA66" i="3" s="1"/>
  <c r="T66" i="3"/>
  <c r="U66" i="3" s="1"/>
  <c r="F67" i="3" l="1"/>
  <c r="G67" i="3"/>
  <c r="V67" i="3" s="1"/>
  <c r="E68" i="3"/>
  <c r="D69" i="3"/>
  <c r="H71" i="3"/>
  <c r="I70" i="3"/>
  <c r="K70" i="3" s="1"/>
  <c r="J69" i="3"/>
  <c r="B418" i="3"/>
  <c r="S115" i="3"/>
  <c r="Q116" i="3"/>
  <c r="M68" i="3"/>
  <c r="Z67" i="3"/>
  <c r="AA67" i="3" s="1"/>
  <c r="T67" i="3"/>
  <c r="U67" i="3" s="1"/>
  <c r="F68" i="3" l="1"/>
  <c r="G68" i="3"/>
  <c r="V68" i="3" s="1"/>
  <c r="E69" i="3"/>
  <c r="D70" i="3"/>
  <c r="J70" i="3"/>
  <c r="H72" i="3"/>
  <c r="I71" i="3"/>
  <c r="K71" i="3" s="1"/>
  <c r="B419" i="3"/>
  <c r="S116" i="3"/>
  <c r="Q117" i="3"/>
  <c r="M69" i="3"/>
  <c r="Z68" i="3"/>
  <c r="AA68" i="3" s="1"/>
  <c r="T68" i="3"/>
  <c r="U68" i="3" s="1"/>
  <c r="F69" i="3" l="1"/>
  <c r="G69" i="3"/>
  <c r="V69" i="3" s="1"/>
  <c r="E70" i="3"/>
  <c r="D71" i="3"/>
  <c r="J71" i="3"/>
  <c r="H73" i="3"/>
  <c r="I72" i="3"/>
  <c r="K72" i="3" s="1"/>
  <c r="B420" i="3"/>
  <c r="S117" i="3"/>
  <c r="Q118" i="3"/>
  <c r="M70" i="3"/>
  <c r="Z69" i="3"/>
  <c r="AA69" i="3" s="1"/>
  <c r="T69" i="3"/>
  <c r="U69" i="3" s="1"/>
  <c r="F70" i="3" l="1"/>
  <c r="G70" i="3"/>
  <c r="V70" i="3" s="1"/>
  <c r="E71" i="3"/>
  <c r="D72" i="3"/>
  <c r="J72" i="3"/>
  <c r="H74" i="3"/>
  <c r="I73" i="3"/>
  <c r="K73" i="3" s="1"/>
  <c r="B421" i="3"/>
  <c r="B422" i="3" s="1"/>
  <c r="B423" i="3" s="1"/>
  <c r="B424" i="3" s="1"/>
  <c r="B425" i="3" s="1"/>
  <c r="B426" i="3" s="1"/>
  <c r="B427" i="3" s="1"/>
  <c r="B428" i="3" s="1"/>
  <c r="B429" i="3" s="1"/>
  <c r="B430" i="3" s="1"/>
  <c r="B431" i="3" s="1"/>
  <c r="B432" i="3" s="1"/>
  <c r="B433" i="3" s="1"/>
  <c r="B434" i="3" s="1"/>
  <c r="B435" i="3" s="1"/>
  <c r="S118" i="3"/>
  <c r="Q119" i="3"/>
  <c r="M71" i="3"/>
  <c r="Z70" i="3"/>
  <c r="AA70" i="3" s="1"/>
  <c r="T70" i="3"/>
  <c r="U70" i="3" s="1"/>
  <c r="F71" i="3" l="1"/>
  <c r="G71" i="3"/>
  <c r="V71" i="3" s="1"/>
  <c r="E72" i="3"/>
  <c r="D73" i="3"/>
  <c r="J73" i="3"/>
  <c r="H75" i="3"/>
  <c r="I74" i="3"/>
  <c r="K74" i="3" s="1"/>
  <c r="C51" i="3"/>
  <c r="V51" i="3" s="1"/>
  <c r="C20" i="3"/>
  <c r="S119" i="3"/>
  <c r="Q120" i="3"/>
  <c r="M72" i="3"/>
  <c r="Z71" i="3"/>
  <c r="AA71" i="3" s="1"/>
  <c r="T71" i="3"/>
  <c r="U71" i="3" s="1"/>
  <c r="F72" i="3" l="1"/>
  <c r="G72" i="3"/>
  <c r="V72" i="3" s="1"/>
  <c r="E73" i="3"/>
  <c r="D74" i="3"/>
  <c r="H76" i="3"/>
  <c r="I75" i="3"/>
  <c r="K75" i="3" s="1"/>
  <c r="J74" i="3"/>
  <c r="S120" i="3"/>
  <c r="Q121" i="3"/>
  <c r="M73" i="3"/>
  <c r="Z72" i="3"/>
  <c r="AA72" i="3" s="1"/>
  <c r="T72" i="3"/>
  <c r="U72" i="3" s="1"/>
  <c r="F73" i="3" l="1"/>
  <c r="G73" i="3"/>
  <c r="V73" i="3" s="1"/>
  <c r="E74" i="3"/>
  <c r="D75" i="3"/>
  <c r="J75" i="3"/>
  <c r="H77" i="3"/>
  <c r="I76" i="3"/>
  <c r="K76" i="3" s="1"/>
  <c r="S121" i="3"/>
  <c r="Q122" i="3"/>
  <c r="M74" i="3"/>
  <c r="T73" i="3"/>
  <c r="Z73" i="3"/>
  <c r="AA73" i="3" s="1"/>
  <c r="F74" i="3" l="1"/>
  <c r="G74" i="3"/>
  <c r="V74" i="3" s="1"/>
  <c r="E75" i="3"/>
  <c r="D76" i="3"/>
  <c r="U73" i="3"/>
  <c r="H78" i="3"/>
  <c r="I77" i="3"/>
  <c r="K77" i="3" s="1"/>
  <c r="J76" i="3"/>
  <c r="S122" i="3"/>
  <c r="Q123" i="3"/>
  <c r="M75" i="3"/>
  <c r="Z74" i="3"/>
  <c r="AA74" i="3" s="1"/>
  <c r="T74" i="3"/>
  <c r="U74" i="3" l="1"/>
  <c r="F75" i="3"/>
  <c r="G75" i="3"/>
  <c r="V75" i="3" s="1"/>
  <c r="E76" i="3"/>
  <c r="D77" i="3"/>
  <c r="J77" i="3"/>
  <c r="H79" i="3"/>
  <c r="I78" i="3"/>
  <c r="K78" i="3" s="1"/>
  <c r="S123" i="3"/>
  <c r="Q124" i="3"/>
  <c r="M76" i="3"/>
  <c r="Z75" i="3"/>
  <c r="AA75" i="3" s="1"/>
  <c r="T75" i="3"/>
  <c r="F76" i="3" l="1"/>
  <c r="G76" i="3"/>
  <c r="V76" i="3" s="1"/>
  <c r="E77" i="3"/>
  <c r="D78" i="3"/>
  <c r="H80" i="3"/>
  <c r="I79" i="3"/>
  <c r="K79" i="3" s="1"/>
  <c r="U75" i="3"/>
  <c r="J78" i="3"/>
  <c r="S124" i="3"/>
  <c r="Q125" i="3"/>
  <c r="M77" i="3"/>
  <c r="Z76" i="3"/>
  <c r="AA76" i="3" s="1"/>
  <c r="T76" i="3"/>
  <c r="F77" i="3" l="1"/>
  <c r="G77" i="3"/>
  <c r="V77" i="3" s="1"/>
  <c r="E78" i="3"/>
  <c r="D79" i="3"/>
  <c r="J79" i="3"/>
  <c r="U76" i="3"/>
  <c r="H81" i="3"/>
  <c r="I80" i="3"/>
  <c r="K80" i="3" s="1"/>
  <c r="S125" i="3"/>
  <c r="Q126" i="3"/>
  <c r="M78" i="3"/>
  <c r="T77" i="3"/>
  <c r="Z77" i="3"/>
  <c r="AA77" i="3" s="1"/>
  <c r="F78" i="3" l="1"/>
  <c r="G78" i="3"/>
  <c r="V78" i="3" s="1"/>
  <c r="E79" i="3"/>
  <c r="D80" i="3"/>
  <c r="U77" i="3"/>
  <c r="H82" i="3"/>
  <c r="I81" i="3"/>
  <c r="K81" i="3" s="1"/>
  <c r="J80" i="3"/>
  <c r="S126" i="3"/>
  <c r="Q127" i="3"/>
  <c r="M79" i="3"/>
  <c r="Z78" i="3"/>
  <c r="AA78" i="3" s="1"/>
  <c r="T78" i="3"/>
  <c r="U78" i="3" l="1"/>
  <c r="F79" i="3"/>
  <c r="G79" i="3"/>
  <c r="E80" i="3"/>
  <c r="D81" i="3"/>
  <c r="J81" i="3"/>
  <c r="C79" i="3"/>
  <c r="H83" i="3"/>
  <c r="I82" i="3"/>
  <c r="K82" i="3" s="1"/>
  <c r="S127" i="3"/>
  <c r="Q128" i="3"/>
  <c r="M80" i="3"/>
  <c r="Z79" i="3"/>
  <c r="AA79" i="3" s="1"/>
  <c r="T79" i="3"/>
  <c r="V79" i="3" l="1"/>
  <c r="F80" i="3"/>
  <c r="G80" i="3"/>
  <c r="V80" i="3" s="1"/>
  <c r="E81" i="3"/>
  <c r="D82" i="3"/>
  <c r="H84" i="3"/>
  <c r="I83" i="3"/>
  <c r="K83" i="3" s="1"/>
  <c r="J82" i="3"/>
  <c r="U79" i="3"/>
  <c r="S128" i="3"/>
  <c r="Q129" i="3"/>
  <c r="M81" i="3"/>
  <c r="Z80" i="3"/>
  <c r="AA80" i="3" s="1"/>
  <c r="T80" i="3"/>
  <c r="F81" i="3" l="1"/>
  <c r="G81" i="3"/>
  <c r="V81" i="3" s="1"/>
  <c r="E82" i="3"/>
  <c r="D83" i="3"/>
  <c r="U80" i="3"/>
  <c r="H85" i="3"/>
  <c r="I84" i="3"/>
  <c r="K84" i="3" s="1"/>
  <c r="J83" i="3"/>
  <c r="M82" i="3"/>
  <c r="T81" i="3"/>
  <c r="Z81" i="3"/>
  <c r="AA81" i="3" s="1"/>
  <c r="S129" i="3"/>
  <c r="Q130" i="3"/>
  <c r="F82" i="3" l="1"/>
  <c r="G82" i="3"/>
  <c r="V82" i="3" s="1"/>
  <c r="E83" i="3"/>
  <c r="U81" i="3"/>
  <c r="D84" i="3"/>
  <c r="J84" i="3"/>
  <c r="H86" i="3"/>
  <c r="I85" i="3"/>
  <c r="K85" i="3" s="1"/>
  <c r="M83" i="3"/>
  <c r="Z82" i="3"/>
  <c r="AA82" i="3" s="1"/>
  <c r="T82" i="3"/>
  <c r="S130" i="3"/>
  <c r="Q131" i="3"/>
  <c r="F83" i="3" l="1"/>
  <c r="G83" i="3"/>
  <c r="V83" i="3" s="1"/>
  <c r="E84" i="3"/>
  <c r="D85" i="3"/>
  <c r="U82" i="3"/>
  <c r="H87" i="3"/>
  <c r="I86" i="3"/>
  <c r="K86" i="3" s="1"/>
  <c r="J85" i="3"/>
  <c r="S131" i="3"/>
  <c r="Q132" i="3"/>
  <c r="M84" i="3"/>
  <c r="Z83" i="3"/>
  <c r="AA83" i="3" s="1"/>
  <c r="T83" i="3"/>
  <c r="U83" i="3" l="1"/>
  <c r="F84" i="3"/>
  <c r="G84" i="3"/>
  <c r="V84" i="3" s="1"/>
  <c r="E85" i="3"/>
  <c r="D86" i="3"/>
  <c r="J86" i="3"/>
  <c r="H88" i="3"/>
  <c r="I87" i="3"/>
  <c r="K87" i="3" s="1"/>
  <c r="M85" i="3"/>
  <c r="Z84" i="3"/>
  <c r="AA84" i="3" s="1"/>
  <c r="T84" i="3"/>
  <c r="S132" i="3"/>
  <c r="Q133" i="3"/>
  <c r="U84" i="3" l="1"/>
  <c r="F85" i="3"/>
  <c r="G85" i="3"/>
  <c r="V85" i="3" s="1"/>
  <c r="E86" i="3"/>
  <c r="D87" i="3"/>
  <c r="H89" i="3"/>
  <c r="I88" i="3"/>
  <c r="K88" i="3" s="1"/>
  <c r="J87" i="3"/>
  <c r="S133" i="3"/>
  <c r="Q134" i="3"/>
  <c r="M86" i="3"/>
  <c r="Z85" i="3"/>
  <c r="AA85" i="3" s="1"/>
  <c r="T85" i="3"/>
  <c r="U85" i="3" l="1"/>
  <c r="F86" i="3"/>
  <c r="G86" i="3"/>
  <c r="V86" i="3" s="1"/>
  <c r="E87" i="3"/>
  <c r="D88" i="3"/>
  <c r="J88" i="3"/>
  <c r="H90" i="3"/>
  <c r="I89" i="3"/>
  <c r="K89" i="3" s="1"/>
  <c r="S134" i="3"/>
  <c r="Q135" i="3"/>
  <c r="M87" i="3"/>
  <c r="Z86" i="3"/>
  <c r="AA86" i="3" s="1"/>
  <c r="T86" i="3"/>
  <c r="U86" i="3" l="1"/>
  <c r="F87" i="3"/>
  <c r="G87" i="3"/>
  <c r="V87" i="3" s="1"/>
  <c r="E88" i="3"/>
  <c r="D89" i="3"/>
  <c r="H91" i="3"/>
  <c r="I90" i="3"/>
  <c r="K90" i="3" s="1"/>
  <c r="J89" i="3"/>
  <c r="S135" i="3"/>
  <c r="Q136" i="3"/>
  <c r="M88" i="3"/>
  <c r="Z87" i="3"/>
  <c r="AA87" i="3" s="1"/>
  <c r="T87" i="3"/>
  <c r="U87" i="3" s="1"/>
  <c r="F88" i="3" l="1"/>
  <c r="G88" i="3"/>
  <c r="V88" i="3" s="1"/>
  <c r="E89" i="3"/>
  <c r="D90" i="3"/>
  <c r="J90" i="3"/>
  <c r="H92" i="3"/>
  <c r="I91" i="3"/>
  <c r="K91" i="3" s="1"/>
  <c r="S136" i="3"/>
  <c r="Q137" i="3"/>
  <c r="M89" i="3"/>
  <c r="Z88" i="3"/>
  <c r="AA88" i="3" s="1"/>
  <c r="T88" i="3"/>
  <c r="U88" i="3" s="1"/>
  <c r="F89" i="3" l="1"/>
  <c r="G89" i="3"/>
  <c r="V89" i="3" s="1"/>
  <c r="E90" i="3"/>
  <c r="D91" i="3"/>
  <c r="H93" i="3"/>
  <c r="I92" i="3"/>
  <c r="K92" i="3" s="1"/>
  <c r="J91" i="3"/>
  <c r="S137" i="3"/>
  <c r="Q138" i="3"/>
  <c r="M90" i="3"/>
  <c r="T89" i="3"/>
  <c r="U89" i="3" s="1"/>
  <c r="Z89" i="3"/>
  <c r="AA89" i="3" s="1"/>
  <c r="F90" i="3" l="1"/>
  <c r="G90" i="3"/>
  <c r="V90" i="3" s="1"/>
  <c r="E91" i="3"/>
  <c r="D92" i="3"/>
  <c r="J92" i="3"/>
  <c r="H94" i="3"/>
  <c r="I93" i="3"/>
  <c r="K93" i="3" s="1"/>
  <c r="S138" i="3"/>
  <c r="Q139" i="3"/>
  <c r="M91" i="3"/>
  <c r="Z90" i="3"/>
  <c r="AA90" i="3" s="1"/>
  <c r="T90" i="3"/>
  <c r="U90" i="3" s="1"/>
  <c r="F91" i="3" l="1"/>
  <c r="G91" i="3"/>
  <c r="V91" i="3" s="1"/>
  <c r="E92" i="3"/>
  <c r="D93" i="3"/>
  <c r="H95" i="3"/>
  <c r="I94" i="3"/>
  <c r="K94" i="3" s="1"/>
  <c r="J93" i="3"/>
  <c r="S139" i="3"/>
  <c r="Q140" i="3"/>
  <c r="M92" i="3"/>
  <c r="Z91" i="3"/>
  <c r="AA91" i="3" s="1"/>
  <c r="T91" i="3"/>
  <c r="U91" i="3" s="1"/>
  <c r="F92" i="3" l="1"/>
  <c r="G92" i="3"/>
  <c r="V92" i="3" s="1"/>
  <c r="E93" i="3"/>
  <c r="D94" i="3"/>
  <c r="H96" i="3"/>
  <c r="I95" i="3"/>
  <c r="K95" i="3" s="1"/>
  <c r="J94" i="3"/>
  <c r="S140" i="3"/>
  <c r="Q141" i="3"/>
  <c r="M93" i="3"/>
  <c r="Z92" i="3"/>
  <c r="AA92" i="3" s="1"/>
  <c r="T92" i="3"/>
  <c r="U92" i="3" s="1"/>
  <c r="F93" i="3" l="1"/>
  <c r="G93" i="3"/>
  <c r="V93" i="3" s="1"/>
  <c r="E94" i="3"/>
  <c r="D95" i="3"/>
  <c r="J95" i="3"/>
  <c r="H97" i="3"/>
  <c r="I96" i="3"/>
  <c r="K96" i="3" s="1"/>
  <c r="S141" i="3"/>
  <c r="Q142" i="3"/>
  <c r="M94" i="3"/>
  <c r="T93" i="3"/>
  <c r="U93" i="3" s="1"/>
  <c r="Z93" i="3"/>
  <c r="AA93" i="3" s="1"/>
  <c r="F94" i="3" l="1"/>
  <c r="G94" i="3"/>
  <c r="V94" i="3" s="1"/>
  <c r="E95" i="3"/>
  <c r="D96" i="3"/>
  <c r="J96" i="3"/>
  <c r="H98" i="3"/>
  <c r="I97" i="3"/>
  <c r="K97" i="3" s="1"/>
  <c r="S142" i="3"/>
  <c r="Q143" i="3"/>
  <c r="M95" i="3"/>
  <c r="Z94" i="3"/>
  <c r="AA94" i="3" s="1"/>
  <c r="T94" i="3"/>
  <c r="U94" i="3" s="1"/>
  <c r="F95" i="3" l="1"/>
  <c r="G95" i="3"/>
  <c r="V95" i="3" s="1"/>
  <c r="E96" i="3"/>
  <c r="D97" i="3"/>
  <c r="J97" i="3"/>
  <c r="H99" i="3"/>
  <c r="I98" i="3"/>
  <c r="K98" i="3" s="1"/>
  <c r="S143" i="3"/>
  <c r="Q144" i="3"/>
  <c r="M96" i="3"/>
  <c r="Z95" i="3"/>
  <c r="AA95" i="3" s="1"/>
  <c r="T95" i="3"/>
  <c r="U95" i="3" s="1"/>
  <c r="F96" i="3" l="1"/>
  <c r="G96" i="3"/>
  <c r="V96" i="3" s="1"/>
  <c r="E97" i="3"/>
  <c r="D98" i="3"/>
  <c r="J98" i="3"/>
  <c r="H100" i="3"/>
  <c r="I99" i="3"/>
  <c r="K99" i="3" s="1"/>
  <c r="S144" i="3"/>
  <c r="Q145" i="3"/>
  <c r="M97" i="3"/>
  <c r="Z96" i="3"/>
  <c r="AA96" i="3" s="1"/>
  <c r="T96" i="3"/>
  <c r="U96" i="3" s="1"/>
  <c r="F97" i="3" l="1"/>
  <c r="G97" i="3"/>
  <c r="V97" i="3" s="1"/>
  <c r="E98" i="3"/>
  <c r="D99" i="3"/>
  <c r="J99" i="3"/>
  <c r="H101" i="3"/>
  <c r="I100" i="3"/>
  <c r="K100" i="3" s="1"/>
  <c r="S145" i="3"/>
  <c r="Q146" i="3"/>
  <c r="M98" i="3"/>
  <c r="T97" i="3"/>
  <c r="U97" i="3" s="1"/>
  <c r="Z97" i="3"/>
  <c r="AA97" i="3" s="1"/>
  <c r="F98" i="3" l="1"/>
  <c r="G98" i="3"/>
  <c r="V98" i="3" s="1"/>
  <c r="E99" i="3"/>
  <c r="D100" i="3"/>
  <c r="H102" i="3"/>
  <c r="I101" i="3"/>
  <c r="K101" i="3" s="1"/>
  <c r="J100" i="3"/>
  <c r="S146" i="3"/>
  <c r="Q147" i="3"/>
  <c r="M99" i="3"/>
  <c r="Z98" i="3"/>
  <c r="AA98" i="3" s="1"/>
  <c r="T98" i="3"/>
  <c r="U98" i="3" s="1"/>
  <c r="F99" i="3" l="1"/>
  <c r="G99" i="3"/>
  <c r="V99" i="3" s="1"/>
  <c r="E100" i="3"/>
  <c r="D101" i="3"/>
  <c r="H103" i="3"/>
  <c r="I102" i="3"/>
  <c r="K102" i="3" s="1"/>
  <c r="J101" i="3"/>
  <c r="S147" i="3"/>
  <c r="Q148" i="3"/>
  <c r="M100" i="3"/>
  <c r="Z99" i="3"/>
  <c r="AA99" i="3" s="1"/>
  <c r="T99" i="3"/>
  <c r="U99" i="3" s="1"/>
  <c r="F100" i="3" l="1"/>
  <c r="G100" i="3"/>
  <c r="V100" i="3" s="1"/>
  <c r="E101" i="3"/>
  <c r="D102" i="3"/>
  <c r="J102" i="3"/>
  <c r="H104" i="3"/>
  <c r="I103" i="3"/>
  <c r="K103" i="3" s="1"/>
  <c r="S148" i="3"/>
  <c r="Q149" i="3"/>
  <c r="M101" i="3"/>
  <c r="Z100" i="3"/>
  <c r="AA100" i="3" s="1"/>
  <c r="T100" i="3"/>
  <c r="U100" i="3" s="1"/>
  <c r="F101" i="3" l="1"/>
  <c r="G101" i="3"/>
  <c r="V101" i="3" s="1"/>
  <c r="E102" i="3"/>
  <c r="J103" i="3"/>
  <c r="D103" i="3"/>
  <c r="H105" i="3"/>
  <c r="I104" i="3"/>
  <c r="K104" i="3" s="1"/>
  <c r="S149" i="3"/>
  <c r="Q150" i="3"/>
  <c r="M102" i="3"/>
  <c r="Z101" i="3"/>
  <c r="AA101" i="3" s="1"/>
  <c r="T101" i="3"/>
  <c r="U101" i="3" s="1"/>
  <c r="F102" i="3" l="1"/>
  <c r="G102" i="3"/>
  <c r="V102" i="3" s="1"/>
  <c r="E103" i="3"/>
  <c r="D104" i="3"/>
  <c r="H106" i="3"/>
  <c r="I105" i="3"/>
  <c r="K105" i="3" s="1"/>
  <c r="J104" i="3"/>
  <c r="S150" i="3"/>
  <c r="Q151" i="3"/>
  <c r="M103" i="3"/>
  <c r="Z102" i="3"/>
  <c r="AA102" i="3" s="1"/>
  <c r="T102" i="3"/>
  <c r="U102" i="3" s="1"/>
  <c r="F103" i="3" l="1"/>
  <c r="G103" i="3"/>
  <c r="V103" i="3" s="1"/>
  <c r="E104" i="3"/>
  <c r="D105" i="3"/>
  <c r="J105" i="3"/>
  <c r="H107" i="3"/>
  <c r="I106" i="3"/>
  <c r="K106" i="3" s="1"/>
  <c r="S151" i="3"/>
  <c r="Q152" i="3"/>
  <c r="M104" i="3"/>
  <c r="Z103" i="3"/>
  <c r="AA103" i="3" s="1"/>
  <c r="T103" i="3"/>
  <c r="U103" i="3" s="1"/>
  <c r="F104" i="3" l="1"/>
  <c r="G104" i="3"/>
  <c r="V104" i="3" s="1"/>
  <c r="E105" i="3"/>
  <c r="D106" i="3"/>
  <c r="H108" i="3"/>
  <c r="I107" i="3"/>
  <c r="K107" i="3" s="1"/>
  <c r="J106" i="3"/>
  <c r="S152" i="3"/>
  <c r="Q153" i="3"/>
  <c r="M105" i="3"/>
  <c r="Z104" i="3"/>
  <c r="AA104" i="3" s="1"/>
  <c r="T104" i="3"/>
  <c r="U104" i="3" s="1"/>
  <c r="F105" i="3" l="1"/>
  <c r="G105" i="3"/>
  <c r="V105" i="3" s="1"/>
  <c r="E106" i="3"/>
  <c r="J107" i="3"/>
  <c r="D107" i="3"/>
  <c r="H109" i="3"/>
  <c r="I108" i="3"/>
  <c r="K108" i="3" s="1"/>
  <c r="S153" i="3"/>
  <c r="Q154" i="3"/>
  <c r="M106" i="3"/>
  <c r="T105" i="3"/>
  <c r="U105" i="3" s="1"/>
  <c r="Z105" i="3"/>
  <c r="AA105" i="3" s="1"/>
  <c r="F106" i="3" l="1"/>
  <c r="G106" i="3"/>
  <c r="V106" i="3" s="1"/>
  <c r="E107" i="3"/>
  <c r="D108" i="3"/>
  <c r="J108" i="3"/>
  <c r="H110" i="3"/>
  <c r="I109" i="3"/>
  <c r="K109" i="3" s="1"/>
  <c r="S154" i="3"/>
  <c r="Q155" i="3"/>
  <c r="M107" i="3"/>
  <c r="Z106" i="3"/>
  <c r="AA106" i="3" s="1"/>
  <c r="T106" i="3"/>
  <c r="U106" i="3" s="1"/>
  <c r="F107" i="3" l="1"/>
  <c r="G107" i="3"/>
  <c r="V107" i="3" s="1"/>
  <c r="E108" i="3"/>
  <c r="D109" i="3"/>
  <c r="J109" i="3"/>
  <c r="H111" i="3"/>
  <c r="I110" i="3"/>
  <c r="K110" i="3" s="1"/>
  <c r="S155" i="3"/>
  <c r="Q156" i="3"/>
  <c r="M108" i="3"/>
  <c r="Z107" i="3"/>
  <c r="AA107" i="3" s="1"/>
  <c r="T107" i="3"/>
  <c r="U107" i="3" s="1"/>
  <c r="F108" i="3" l="1"/>
  <c r="G108" i="3"/>
  <c r="V108" i="3" s="1"/>
  <c r="E109" i="3"/>
  <c r="D110" i="3"/>
  <c r="H112" i="3"/>
  <c r="I111" i="3"/>
  <c r="K111" i="3" s="1"/>
  <c r="J110" i="3"/>
  <c r="S156" i="3"/>
  <c r="Q157" i="3"/>
  <c r="M109" i="3"/>
  <c r="Z108" i="3"/>
  <c r="AA108" i="3" s="1"/>
  <c r="T108" i="3"/>
  <c r="U108" i="3" s="1"/>
  <c r="F109" i="3" l="1"/>
  <c r="G109" i="3"/>
  <c r="V109" i="3" s="1"/>
  <c r="E110" i="3"/>
  <c r="D111" i="3"/>
  <c r="H113" i="3"/>
  <c r="I112" i="3"/>
  <c r="K112" i="3" s="1"/>
  <c r="J111" i="3"/>
  <c r="S157" i="3"/>
  <c r="Q158" i="3"/>
  <c r="M110" i="3"/>
  <c r="T109" i="3"/>
  <c r="U109" i="3" s="1"/>
  <c r="Z109" i="3"/>
  <c r="AA109" i="3" s="1"/>
  <c r="F110" i="3" l="1"/>
  <c r="E111" i="3"/>
  <c r="D112" i="3"/>
  <c r="J112" i="3"/>
  <c r="H114" i="3"/>
  <c r="I113" i="3"/>
  <c r="K113" i="3" s="1"/>
  <c r="S158" i="3"/>
  <c r="Q159" i="3"/>
  <c r="M111" i="3"/>
  <c r="Z110" i="3"/>
  <c r="AA110" i="3" s="1"/>
  <c r="T110" i="3"/>
  <c r="F111" i="3" l="1"/>
  <c r="G111" i="3"/>
  <c r="V111" i="3" s="1"/>
  <c r="E112" i="3"/>
  <c r="G112" i="3" s="1"/>
  <c r="V112" i="3" s="1"/>
  <c r="D113" i="3"/>
  <c r="H115" i="3"/>
  <c r="I114" i="3"/>
  <c r="K114" i="3" s="1"/>
  <c r="J113" i="3"/>
  <c r="U110" i="3"/>
  <c r="S159" i="3"/>
  <c r="Q160" i="3"/>
  <c r="M112" i="3"/>
  <c r="Z111" i="3"/>
  <c r="AA111" i="3" s="1"/>
  <c r="T111" i="3"/>
  <c r="F112" i="3" l="1"/>
  <c r="E113" i="3"/>
  <c r="D114" i="3"/>
  <c r="U111" i="3"/>
  <c r="J114" i="3"/>
  <c r="H116" i="3"/>
  <c r="I115" i="3"/>
  <c r="K115" i="3" s="1"/>
  <c r="S160" i="3"/>
  <c r="Q161" i="3"/>
  <c r="M113" i="3"/>
  <c r="Z112" i="3"/>
  <c r="AA112" i="3" s="1"/>
  <c r="T112" i="3"/>
  <c r="F113" i="3" l="1"/>
  <c r="G113" i="3"/>
  <c r="V113" i="3" s="1"/>
  <c r="E114" i="3"/>
  <c r="D115" i="3"/>
  <c r="J115" i="3"/>
  <c r="H117" i="3"/>
  <c r="I116" i="3"/>
  <c r="K116" i="3" s="1"/>
  <c r="U112" i="3"/>
  <c r="S161" i="3"/>
  <c r="Q162" i="3"/>
  <c r="M114" i="3"/>
  <c r="T113" i="3"/>
  <c r="Z113" i="3"/>
  <c r="AA113" i="3" s="1"/>
  <c r="F114" i="3" l="1"/>
  <c r="G114" i="3"/>
  <c r="V114" i="3" s="1"/>
  <c r="E115" i="3"/>
  <c r="D116" i="3"/>
  <c r="J116" i="3"/>
  <c r="U113" i="3"/>
  <c r="H118" i="3"/>
  <c r="I117" i="3"/>
  <c r="K117" i="3" s="1"/>
  <c r="S162" i="3"/>
  <c r="Q163" i="3"/>
  <c r="M115" i="3"/>
  <c r="Z114" i="3"/>
  <c r="AA114" i="3" s="1"/>
  <c r="T114" i="3"/>
  <c r="F115" i="3" l="1"/>
  <c r="G115" i="3"/>
  <c r="V115" i="3" s="1"/>
  <c r="E116" i="3"/>
  <c r="D117" i="3"/>
  <c r="J117" i="3"/>
  <c r="U114" i="3"/>
  <c r="H119" i="3"/>
  <c r="I118" i="3"/>
  <c r="K118" i="3" s="1"/>
  <c r="S163" i="3"/>
  <c r="Q164" i="3"/>
  <c r="M116" i="3"/>
  <c r="Z115" i="3"/>
  <c r="AA115" i="3" s="1"/>
  <c r="T115" i="3"/>
  <c r="F116" i="3" l="1"/>
  <c r="G116" i="3"/>
  <c r="V116" i="3" s="1"/>
  <c r="E117" i="3"/>
  <c r="D118" i="3"/>
  <c r="U115" i="3"/>
  <c r="H120" i="3"/>
  <c r="I119" i="3"/>
  <c r="K119" i="3" s="1"/>
  <c r="J118" i="3"/>
  <c r="S164" i="3"/>
  <c r="Q165" i="3"/>
  <c r="M117" i="3"/>
  <c r="Z116" i="3"/>
  <c r="AA116" i="3" s="1"/>
  <c r="T116" i="3"/>
  <c r="F117" i="3" l="1"/>
  <c r="G117" i="3"/>
  <c r="V117" i="3" s="1"/>
  <c r="E118" i="3"/>
  <c r="D119" i="3"/>
  <c r="J119" i="3"/>
  <c r="U116" i="3"/>
  <c r="H121" i="3"/>
  <c r="I120" i="3"/>
  <c r="K120" i="3" s="1"/>
  <c r="S165" i="3"/>
  <c r="Q166" i="3"/>
  <c r="M118" i="3"/>
  <c r="Z117" i="3"/>
  <c r="AA117" i="3" s="1"/>
  <c r="T117" i="3"/>
  <c r="F118" i="3" l="1"/>
  <c r="G118" i="3"/>
  <c r="V118" i="3" s="1"/>
  <c r="E119" i="3"/>
  <c r="D120" i="3"/>
  <c r="U117" i="3"/>
  <c r="H122" i="3"/>
  <c r="I121" i="3"/>
  <c r="K121" i="3" s="1"/>
  <c r="J120" i="3"/>
  <c r="M119" i="3"/>
  <c r="Z118" i="3"/>
  <c r="AA118" i="3" s="1"/>
  <c r="T118" i="3"/>
  <c r="S166" i="3"/>
  <c r="Q167" i="3"/>
  <c r="F119" i="3" l="1"/>
  <c r="G119" i="3"/>
  <c r="V119" i="3" s="1"/>
  <c r="E120" i="3"/>
  <c r="D121" i="3"/>
  <c r="U118" i="3"/>
  <c r="J121" i="3"/>
  <c r="H123" i="3"/>
  <c r="I122" i="3"/>
  <c r="K122" i="3" s="1"/>
  <c r="S167" i="3"/>
  <c r="Q168" i="3"/>
  <c r="M120" i="3"/>
  <c r="Z119" i="3"/>
  <c r="AA119" i="3" s="1"/>
  <c r="T119" i="3"/>
  <c r="U119" i="3" l="1"/>
  <c r="F120" i="3"/>
  <c r="G120" i="3"/>
  <c r="V120" i="3" s="1"/>
  <c r="E121" i="3"/>
  <c r="D122" i="3"/>
  <c r="J122" i="3"/>
  <c r="H124" i="3"/>
  <c r="I123" i="3"/>
  <c r="K123" i="3" s="1"/>
  <c r="S168" i="3"/>
  <c r="Q169" i="3"/>
  <c r="M121" i="3"/>
  <c r="Z120" i="3"/>
  <c r="AA120" i="3" s="1"/>
  <c r="T120" i="3"/>
  <c r="U120" i="3" l="1"/>
  <c r="F121" i="3"/>
  <c r="G121" i="3"/>
  <c r="V121" i="3" s="1"/>
  <c r="E122" i="3"/>
  <c r="D123" i="3"/>
  <c r="J123" i="3"/>
  <c r="H125" i="3"/>
  <c r="I124" i="3"/>
  <c r="K124" i="3" s="1"/>
  <c r="S169" i="3"/>
  <c r="Q170" i="3"/>
  <c r="M122" i="3"/>
  <c r="T121" i="3"/>
  <c r="Z121" i="3"/>
  <c r="AA121" i="3" s="1"/>
  <c r="U121" i="3" l="1"/>
  <c r="F122" i="3"/>
  <c r="G122" i="3"/>
  <c r="V122" i="3" s="1"/>
  <c r="E123" i="3"/>
  <c r="D124" i="3"/>
  <c r="H126" i="3"/>
  <c r="I125" i="3"/>
  <c r="K125" i="3" s="1"/>
  <c r="J124" i="3"/>
  <c r="S170" i="3"/>
  <c r="Q171" i="3"/>
  <c r="M123" i="3"/>
  <c r="Z122" i="3"/>
  <c r="AA122" i="3" s="1"/>
  <c r="T122" i="3"/>
  <c r="U122" i="3" s="1"/>
  <c r="F123" i="3" l="1"/>
  <c r="G123" i="3"/>
  <c r="V123" i="3" s="1"/>
  <c r="E124" i="3"/>
  <c r="D125" i="3"/>
  <c r="J125" i="3"/>
  <c r="H127" i="3"/>
  <c r="I126" i="3"/>
  <c r="K126" i="3" s="1"/>
  <c r="S171" i="3"/>
  <c r="Q172" i="3"/>
  <c r="M124" i="3"/>
  <c r="Z123" i="3"/>
  <c r="AA123" i="3" s="1"/>
  <c r="T123" i="3"/>
  <c r="U123" i="3" s="1"/>
  <c r="F124" i="3" l="1"/>
  <c r="G124" i="3"/>
  <c r="V124" i="3" s="1"/>
  <c r="E125" i="3"/>
  <c r="D126" i="3"/>
  <c r="J126" i="3"/>
  <c r="H128" i="3"/>
  <c r="I127" i="3"/>
  <c r="K127" i="3" s="1"/>
  <c r="S172" i="3"/>
  <c r="Q173" i="3"/>
  <c r="M125" i="3"/>
  <c r="Z124" i="3"/>
  <c r="AA124" i="3" s="1"/>
  <c r="T124" i="3"/>
  <c r="U124" i="3" s="1"/>
  <c r="F125" i="3" l="1"/>
  <c r="G125" i="3"/>
  <c r="V125" i="3" s="1"/>
  <c r="E126" i="3"/>
  <c r="D127" i="3"/>
  <c r="J127" i="3"/>
  <c r="H129" i="3"/>
  <c r="I128" i="3"/>
  <c r="K128" i="3" s="1"/>
  <c r="S173" i="3"/>
  <c r="Q174" i="3"/>
  <c r="M126" i="3"/>
  <c r="T125" i="3"/>
  <c r="U125" i="3" s="1"/>
  <c r="Z125" i="3"/>
  <c r="AA125" i="3" s="1"/>
  <c r="F126" i="3" l="1"/>
  <c r="G126" i="3"/>
  <c r="V126" i="3" s="1"/>
  <c r="E127" i="3"/>
  <c r="D128" i="3"/>
  <c r="H130" i="3"/>
  <c r="I129" i="3"/>
  <c r="K129" i="3" s="1"/>
  <c r="J128" i="3"/>
  <c r="S174" i="3"/>
  <c r="Q175" i="3"/>
  <c r="M127" i="3"/>
  <c r="Z126" i="3"/>
  <c r="AA126" i="3" s="1"/>
  <c r="T126" i="3"/>
  <c r="U126" i="3" s="1"/>
  <c r="F127" i="3" l="1"/>
  <c r="G127" i="3"/>
  <c r="V127" i="3" s="1"/>
  <c r="E128" i="3"/>
  <c r="D129" i="3"/>
  <c r="J129" i="3"/>
  <c r="H131" i="3"/>
  <c r="I130" i="3"/>
  <c r="K130" i="3" s="1"/>
  <c r="S175" i="3"/>
  <c r="Q176" i="3"/>
  <c r="M128" i="3"/>
  <c r="Z127" i="3"/>
  <c r="AA127" i="3" s="1"/>
  <c r="T127" i="3"/>
  <c r="U127" i="3" s="1"/>
  <c r="F128" i="3" l="1"/>
  <c r="G128" i="3"/>
  <c r="V128" i="3" s="1"/>
  <c r="E129" i="3"/>
  <c r="D130" i="3"/>
  <c r="H132" i="3"/>
  <c r="I131" i="3"/>
  <c r="K131" i="3" s="1"/>
  <c r="J130" i="3"/>
  <c r="S176" i="3"/>
  <c r="Q177" i="3"/>
  <c r="M129" i="3"/>
  <c r="Z128" i="3"/>
  <c r="AA128" i="3" s="1"/>
  <c r="T128" i="3"/>
  <c r="U128" i="3" s="1"/>
  <c r="F129" i="3" l="1"/>
  <c r="G129" i="3"/>
  <c r="V129" i="3" s="1"/>
  <c r="E130" i="3"/>
  <c r="D131" i="3"/>
  <c r="J131" i="3"/>
  <c r="H133" i="3"/>
  <c r="I132" i="3"/>
  <c r="K132" i="3" s="1"/>
  <c r="S177" i="3"/>
  <c r="Q178" i="3"/>
  <c r="M130" i="3"/>
  <c r="T129" i="3"/>
  <c r="U129" i="3" s="1"/>
  <c r="Z129" i="3"/>
  <c r="AA129" i="3" s="1"/>
  <c r="F130" i="3" l="1"/>
  <c r="G130" i="3"/>
  <c r="V130" i="3" s="1"/>
  <c r="E131" i="3"/>
  <c r="D132" i="3"/>
  <c r="H134" i="3"/>
  <c r="I133" i="3"/>
  <c r="K133" i="3" s="1"/>
  <c r="J132" i="3"/>
  <c r="S178" i="3"/>
  <c r="Q179" i="3"/>
  <c r="M131" i="3"/>
  <c r="Z130" i="3"/>
  <c r="AA130" i="3" s="1"/>
  <c r="T130" i="3"/>
  <c r="U130" i="3" s="1"/>
  <c r="F131" i="3" l="1"/>
  <c r="G131" i="3"/>
  <c r="V131" i="3" s="1"/>
  <c r="E132" i="3"/>
  <c r="D133" i="3"/>
  <c r="J133" i="3"/>
  <c r="H135" i="3"/>
  <c r="I134" i="3"/>
  <c r="K134" i="3" s="1"/>
  <c r="S179" i="3"/>
  <c r="Q180" i="3"/>
  <c r="M132" i="3"/>
  <c r="Z131" i="3"/>
  <c r="AA131" i="3" s="1"/>
  <c r="T131" i="3"/>
  <c r="U131" i="3" s="1"/>
  <c r="F132" i="3" l="1"/>
  <c r="G132" i="3"/>
  <c r="V132" i="3" s="1"/>
  <c r="E133" i="3"/>
  <c r="D134" i="3"/>
  <c r="H136" i="3"/>
  <c r="I135" i="3"/>
  <c r="K135" i="3" s="1"/>
  <c r="J134" i="3"/>
  <c r="S180" i="3"/>
  <c r="Q181" i="3"/>
  <c r="M133" i="3"/>
  <c r="Z132" i="3"/>
  <c r="AA132" i="3" s="1"/>
  <c r="T132" i="3"/>
  <c r="U132" i="3" s="1"/>
  <c r="F133" i="3" l="1"/>
  <c r="G133" i="3"/>
  <c r="V133" i="3" s="1"/>
  <c r="E134" i="3"/>
  <c r="D135" i="3"/>
  <c r="J135" i="3"/>
  <c r="H137" i="3"/>
  <c r="I136" i="3"/>
  <c r="K136" i="3" s="1"/>
  <c r="S181" i="3"/>
  <c r="Q182" i="3"/>
  <c r="M134" i="3"/>
  <c r="Z133" i="3"/>
  <c r="AA133" i="3" s="1"/>
  <c r="T133" i="3"/>
  <c r="U133" i="3" s="1"/>
  <c r="F134" i="3" l="1"/>
  <c r="G134" i="3"/>
  <c r="V134" i="3" s="1"/>
  <c r="E135" i="3"/>
  <c r="D136" i="3"/>
  <c r="J136" i="3"/>
  <c r="H138" i="3"/>
  <c r="I137" i="3"/>
  <c r="K137" i="3" s="1"/>
  <c r="S182" i="3"/>
  <c r="Q183" i="3"/>
  <c r="M135" i="3"/>
  <c r="Z134" i="3"/>
  <c r="AA134" i="3" s="1"/>
  <c r="T134" i="3"/>
  <c r="U134" i="3" s="1"/>
  <c r="F135" i="3" l="1"/>
  <c r="G135" i="3"/>
  <c r="V135" i="3" s="1"/>
  <c r="E136" i="3"/>
  <c r="D137" i="3"/>
  <c r="J137" i="3"/>
  <c r="H139" i="3"/>
  <c r="I138" i="3"/>
  <c r="K138" i="3" s="1"/>
  <c r="S183" i="3"/>
  <c r="Q184" i="3"/>
  <c r="M136" i="3"/>
  <c r="Z135" i="3"/>
  <c r="AA135" i="3" s="1"/>
  <c r="T135" i="3"/>
  <c r="U135" i="3" s="1"/>
  <c r="F136" i="3" l="1"/>
  <c r="G136" i="3"/>
  <c r="V136" i="3" s="1"/>
  <c r="E137" i="3"/>
  <c r="D138" i="3"/>
  <c r="J138" i="3"/>
  <c r="H140" i="3"/>
  <c r="I139" i="3"/>
  <c r="K139" i="3" s="1"/>
  <c r="S184" i="3"/>
  <c r="Q185" i="3"/>
  <c r="M137" i="3"/>
  <c r="Z136" i="3"/>
  <c r="AA136" i="3" s="1"/>
  <c r="T136" i="3"/>
  <c r="U136" i="3" s="1"/>
  <c r="F137" i="3" l="1"/>
  <c r="G137" i="3"/>
  <c r="V137" i="3" s="1"/>
  <c r="E138" i="3"/>
  <c r="D139" i="3"/>
  <c r="H141" i="3"/>
  <c r="I140" i="3"/>
  <c r="K140" i="3" s="1"/>
  <c r="J139" i="3"/>
  <c r="S185" i="3"/>
  <c r="Q186" i="3"/>
  <c r="M138" i="3"/>
  <c r="T137" i="3"/>
  <c r="U137" i="3" s="1"/>
  <c r="Z137" i="3"/>
  <c r="AA137" i="3" s="1"/>
  <c r="F138" i="3" l="1"/>
  <c r="G138" i="3"/>
  <c r="V138" i="3" s="1"/>
  <c r="J140" i="3"/>
  <c r="E139" i="3"/>
  <c r="D140" i="3"/>
  <c r="H142" i="3"/>
  <c r="I141" i="3"/>
  <c r="K141" i="3" s="1"/>
  <c r="S186" i="3"/>
  <c r="Q187" i="3"/>
  <c r="M139" i="3"/>
  <c r="Z138" i="3"/>
  <c r="AA138" i="3" s="1"/>
  <c r="T138" i="3"/>
  <c r="U138" i="3" s="1"/>
  <c r="F139" i="3" l="1"/>
  <c r="G139" i="3"/>
  <c r="V139" i="3" s="1"/>
  <c r="E140" i="3"/>
  <c r="D141" i="3"/>
  <c r="H143" i="3"/>
  <c r="I142" i="3"/>
  <c r="K142" i="3" s="1"/>
  <c r="J141" i="3"/>
  <c r="S187" i="3"/>
  <c r="Q188" i="3"/>
  <c r="M140" i="3"/>
  <c r="Z139" i="3"/>
  <c r="AA139" i="3" s="1"/>
  <c r="T139" i="3"/>
  <c r="U139" i="3" s="1"/>
  <c r="F140" i="3" l="1"/>
  <c r="G140" i="3"/>
  <c r="E141" i="3"/>
  <c r="D142" i="3"/>
  <c r="H144" i="3"/>
  <c r="I143" i="3"/>
  <c r="K143" i="3" s="1"/>
  <c r="J142" i="3"/>
  <c r="S188" i="3"/>
  <c r="Q189" i="3"/>
  <c r="M141" i="3"/>
  <c r="Z140" i="3"/>
  <c r="AA140" i="3" s="1"/>
  <c r="T140" i="3"/>
  <c r="F141" i="3" l="1"/>
  <c r="G141" i="3"/>
  <c r="V141" i="3" s="1"/>
  <c r="E142" i="3"/>
  <c r="D143" i="3"/>
  <c r="J143" i="3"/>
  <c r="H145" i="3"/>
  <c r="I144" i="3"/>
  <c r="K144" i="3" s="1"/>
  <c r="U140" i="3"/>
  <c r="S189" i="3"/>
  <c r="Q190" i="3"/>
  <c r="M142" i="3"/>
  <c r="T141" i="3"/>
  <c r="Z141" i="3"/>
  <c r="AA141" i="3" s="1"/>
  <c r="F142" i="3" l="1"/>
  <c r="G142" i="3"/>
  <c r="V142" i="3" s="1"/>
  <c r="U141" i="3"/>
  <c r="E143" i="3"/>
  <c r="D144" i="3"/>
  <c r="J144" i="3"/>
  <c r="H146" i="3"/>
  <c r="I145" i="3"/>
  <c r="K145" i="3" s="1"/>
  <c r="S190" i="3"/>
  <c r="Q191" i="3"/>
  <c r="M143" i="3"/>
  <c r="Z142" i="3"/>
  <c r="AA142" i="3" s="1"/>
  <c r="T142" i="3"/>
  <c r="F143" i="3" l="1"/>
  <c r="G143" i="3"/>
  <c r="V143" i="3" s="1"/>
  <c r="E144" i="3"/>
  <c r="D145" i="3"/>
  <c r="U142" i="3"/>
  <c r="H147" i="3"/>
  <c r="I146" i="3"/>
  <c r="K146" i="3" s="1"/>
  <c r="J145" i="3"/>
  <c r="S191" i="3"/>
  <c r="Q192" i="3"/>
  <c r="M144" i="3"/>
  <c r="Z143" i="3"/>
  <c r="AA143" i="3" s="1"/>
  <c r="T143" i="3"/>
  <c r="U143" i="3" l="1"/>
  <c r="F144" i="3"/>
  <c r="G144" i="3"/>
  <c r="V144" i="3" s="1"/>
  <c r="E145" i="3"/>
  <c r="D146" i="3"/>
  <c r="J146" i="3"/>
  <c r="H148" i="3"/>
  <c r="I147" i="3"/>
  <c r="K147" i="3" s="1"/>
  <c r="S192" i="3"/>
  <c r="Q193" i="3"/>
  <c r="M145" i="3"/>
  <c r="Z144" i="3"/>
  <c r="AA144" i="3" s="1"/>
  <c r="T144" i="3"/>
  <c r="F145" i="3" l="1"/>
  <c r="G145" i="3"/>
  <c r="V145" i="3" s="1"/>
  <c r="E146" i="3"/>
  <c r="D147" i="3"/>
  <c r="U144" i="3"/>
  <c r="H149" i="3"/>
  <c r="I148" i="3"/>
  <c r="K148" i="3" s="1"/>
  <c r="J147" i="3"/>
  <c r="S193" i="3"/>
  <c r="Q194" i="3"/>
  <c r="M146" i="3"/>
  <c r="T145" i="3"/>
  <c r="Z145" i="3"/>
  <c r="AA145" i="3" s="1"/>
  <c r="F146" i="3" l="1"/>
  <c r="G146" i="3"/>
  <c r="V146" i="3" s="1"/>
  <c r="E147" i="3"/>
  <c r="D148" i="3"/>
  <c r="U145" i="3"/>
  <c r="J148" i="3"/>
  <c r="H150" i="3"/>
  <c r="I149" i="3"/>
  <c r="K149" i="3" s="1"/>
  <c r="S194" i="3"/>
  <c r="Q195" i="3"/>
  <c r="M147" i="3"/>
  <c r="Z146" i="3"/>
  <c r="AA146" i="3" s="1"/>
  <c r="T146" i="3"/>
  <c r="F147" i="3" l="1"/>
  <c r="G147" i="3"/>
  <c r="V147" i="3" s="1"/>
  <c r="E148" i="3"/>
  <c r="D149" i="3"/>
  <c r="U146" i="3"/>
  <c r="H151" i="3"/>
  <c r="I150" i="3"/>
  <c r="K150" i="3" s="1"/>
  <c r="J149" i="3"/>
  <c r="S195" i="3"/>
  <c r="Q196" i="3"/>
  <c r="M148" i="3"/>
  <c r="Z147" i="3"/>
  <c r="AA147" i="3" s="1"/>
  <c r="T147" i="3"/>
  <c r="U147" i="3" l="1"/>
  <c r="F148" i="3"/>
  <c r="G148" i="3"/>
  <c r="V148" i="3" s="1"/>
  <c r="E149" i="3"/>
  <c r="D150" i="3"/>
  <c r="J150" i="3"/>
  <c r="H152" i="3"/>
  <c r="I151" i="3"/>
  <c r="K151" i="3" s="1"/>
  <c r="S196" i="3"/>
  <c r="Q197" i="3"/>
  <c r="M149" i="3"/>
  <c r="Z148" i="3"/>
  <c r="AA148" i="3" s="1"/>
  <c r="T148" i="3"/>
  <c r="U148" i="3" s="1"/>
  <c r="F149" i="3" l="1"/>
  <c r="G149" i="3"/>
  <c r="V149" i="3" s="1"/>
  <c r="E150" i="3"/>
  <c r="D151" i="3"/>
  <c r="H153" i="3"/>
  <c r="I152" i="3"/>
  <c r="K152" i="3" s="1"/>
  <c r="J151" i="3"/>
  <c r="S197" i="3"/>
  <c r="Q198" i="3"/>
  <c r="M150" i="3"/>
  <c r="Z149" i="3"/>
  <c r="AA149" i="3" s="1"/>
  <c r="T149" i="3"/>
  <c r="U149" i="3" s="1"/>
  <c r="F150" i="3" l="1"/>
  <c r="G150" i="3"/>
  <c r="V150" i="3" s="1"/>
  <c r="E151" i="3"/>
  <c r="D152" i="3"/>
  <c r="H154" i="3"/>
  <c r="I153" i="3"/>
  <c r="K153" i="3" s="1"/>
  <c r="J152" i="3"/>
  <c r="S198" i="3"/>
  <c r="Q199" i="3"/>
  <c r="M151" i="3"/>
  <c r="Z150" i="3"/>
  <c r="AA150" i="3" s="1"/>
  <c r="T150" i="3"/>
  <c r="U150" i="3" s="1"/>
  <c r="F151" i="3" l="1"/>
  <c r="G151" i="3"/>
  <c r="V151" i="3" s="1"/>
  <c r="E152" i="3"/>
  <c r="D153" i="3"/>
  <c r="J153" i="3"/>
  <c r="H155" i="3"/>
  <c r="I154" i="3"/>
  <c r="K154" i="3" s="1"/>
  <c r="M152" i="3"/>
  <c r="Z151" i="3"/>
  <c r="AA151" i="3" s="1"/>
  <c r="T151" i="3"/>
  <c r="U151" i="3" s="1"/>
  <c r="S199" i="3"/>
  <c r="Q200" i="3"/>
  <c r="F152" i="3" l="1"/>
  <c r="G152" i="3"/>
  <c r="V152" i="3" s="1"/>
  <c r="E153" i="3"/>
  <c r="D154" i="3"/>
  <c r="J154" i="3"/>
  <c r="H156" i="3"/>
  <c r="I155" i="3"/>
  <c r="K155" i="3" s="1"/>
  <c r="S200" i="3"/>
  <c r="Q201" i="3"/>
  <c r="M153" i="3"/>
  <c r="Z152" i="3"/>
  <c r="AA152" i="3" s="1"/>
  <c r="T152" i="3"/>
  <c r="U152" i="3" s="1"/>
  <c r="F153" i="3" l="1"/>
  <c r="G153" i="3"/>
  <c r="V153" i="3" s="1"/>
  <c r="E154" i="3"/>
  <c r="D155" i="3"/>
  <c r="J155" i="3"/>
  <c r="H157" i="3"/>
  <c r="I156" i="3"/>
  <c r="K156" i="3" s="1"/>
  <c r="M154" i="3"/>
  <c r="T153" i="3"/>
  <c r="U153" i="3" s="1"/>
  <c r="Z153" i="3"/>
  <c r="AA153" i="3" s="1"/>
  <c r="S201" i="3"/>
  <c r="Q202" i="3"/>
  <c r="F154" i="3" l="1"/>
  <c r="G154" i="3"/>
  <c r="V154" i="3" s="1"/>
  <c r="E155" i="3"/>
  <c r="D156" i="3"/>
  <c r="J156" i="3"/>
  <c r="H158" i="3"/>
  <c r="I157" i="3"/>
  <c r="K157" i="3" s="1"/>
  <c r="S202" i="3"/>
  <c r="Q203" i="3"/>
  <c r="M155" i="3"/>
  <c r="Z154" i="3"/>
  <c r="AA154" i="3" s="1"/>
  <c r="T154" i="3"/>
  <c r="U154" i="3" s="1"/>
  <c r="F155" i="3" l="1"/>
  <c r="G155" i="3"/>
  <c r="V155" i="3" s="1"/>
  <c r="E156" i="3"/>
  <c r="D157" i="3"/>
  <c r="H159" i="3"/>
  <c r="I158" i="3"/>
  <c r="K158" i="3" s="1"/>
  <c r="J157" i="3"/>
  <c r="S203" i="3"/>
  <c r="Q204" i="3"/>
  <c r="M156" i="3"/>
  <c r="Z155" i="3"/>
  <c r="AA155" i="3" s="1"/>
  <c r="T155" i="3"/>
  <c r="U155" i="3" s="1"/>
  <c r="F156" i="3" l="1"/>
  <c r="G156" i="3"/>
  <c r="V156" i="3" s="1"/>
  <c r="E157" i="3"/>
  <c r="D158" i="3"/>
  <c r="H160" i="3"/>
  <c r="I159" i="3"/>
  <c r="K159" i="3" s="1"/>
  <c r="J158" i="3"/>
  <c r="S204" i="3"/>
  <c r="Q205" i="3"/>
  <c r="M157" i="3"/>
  <c r="Z156" i="3"/>
  <c r="AA156" i="3" s="1"/>
  <c r="T156" i="3"/>
  <c r="U156" i="3" s="1"/>
  <c r="F157" i="3" l="1"/>
  <c r="G157" i="3"/>
  <c r="V157" i="3" s="1"/>
  <c r="E158" i="3"/>
  <c r="D159" i="3"/>
  <c r="J159" i="3"/>
  <c r="H161" i="3"/>
  <c r="I160" i="3"/>
  <c r="K160" i="3" s="1"/>
  <c r="S205" i="3"/>
  <c r="Q206" i="3"/>
  <c r="M158" i="3"/>
  <c r="Z157" i="3"/>
  <c r="AA157" i="3" s="1"/>
  <c r="T157" i="3"/>
  <c r="U157" i="3" s="1"/>
  <c r="F158" i="3" l="1"/>
  <c r="G158" i="3"/>
  <c r="V158" i="3" s="1"/>
  <c r="E159" i="3"/>
  <c r="D160" i="3"/>
  <c r="J160" i="3"/>
  <c r="H162" i="3"/>
  <c r="I161" i="3"/>
  <c r="K161" i="3" s="1"/>
  <c r="S206" i="3"/>
  <c r="Q207" i="3"/>
  <c r="M159" i="3"/>
  <c r="Z158" i="3"/>
  <c r="AA158" i="3" s="1"/>
  <c r="T158" i="3"/>
  <c r="U158" i="3" s="1"/>
  <c r="F159" i="3" l="1"/>
  <c r="G159" i="3"/>
  <c r="V159" i="3" s="1"/>
  <c r="E160" i="3"/>
  <c r="D161" i="3"/>
  <c r="J161" i="3"/>
  <c r="H163" i="3"/>
  <c r="I162" i="3"/>
  <c r="K162" i="3" s="1"/>
  <c r="S207" i="3"/>
  <c r="Q208" i="3"/>
  <c r="M160" i="3"/>
  <c r="Z159" i="3"/>
  <c r="AA159" i="3" s="1"/>
  <c r="T159" i="3"/>
  <c r="U159" i="3" s="1"/>
  <c r="F160" i="3" l="1"/>
  <c r="G160" i="3"/>
  <c r="V160" i="3" s="1"/>
  <c r="E161" i="3"/>
  <c r="D162" i="3"/>
  <c r="J162" i="3"/>
  <c r="H164" i="3"/>
  <c r="I163" i="3"/>
  <c r="K163" i="3" s="1"/>
  <c r="S208" i="3"/>
  <c r="Q209" i="3"/>
  <c r="M161" i="3"/>
  <c r="Z160" i="3"/>
  <c r="AA160" i="3" s="1"/>
  <c r="T160" i="3"/>
  <c r="U160" i="3" s="1"/>
  <c r="F161" i="3" l="1"/>
  <c r="G161" i="3"/>
  <c r="V161" i="3" s="1"/>
  <c r="E162" i="3"/>
  <c r="D163" i="3"/>
  <c r="J163" i="3"/>
  <c r="H165" i="3"/>
  <c r="I164" i="3"/>
  <c r="K164" i="3" s="1"/>
  <c r="M162" i="3"/>
  <c r="Z161" i="3"/>
  <c r="AA161" i="3" s="1"/>
  <c r="T161" i="3"/>
  <c r="U161" i="3" s="1"/>
  <c r="S209" i="3"/>
  <c r="Q210" i="3"/>
  <c r="F162" i="3" l="1"/>
  <c r="G162" i="3"/>
  <c r="V162" i="3" s="1"/>
  <c r="E163" i="3"/>
  <c r="D164" i="3"/>
  <c r="J164" i="3"/>
  <c r="H166" i="3"/>
  <c r="I165" i="3"/>
  <c r="K165" i="3" s="1"/>
  <c r="S210" i="3"/>
  <c r="Q211" i="3"/>
  <c r="M163" i="3"/>
  <c r="Z162" i="3"/>
  <c r="AA162" i="3" s="1"/>
  <c r="T162" i="3"/>
  <c r="U162" i="3" s="1"/>
  <c r="F163" i="3" l="1"/>
  <c r="G163" i="3"/>
  <c r="V163" i="3" s="1"/>
  <c r="E164" i="3"/>
  <c r="D165" i="3"/>
  <c r="J165" i="3"/>
  <c r="H167" i="3"/>
  <c r="I166" i="3"/>
  <c r="K166" i="3" s="1"/>
  <c r="M164" i="3"/>
  <c r="Z163" i="3"/>
  <c r="AA163" i="3" s="1"/>
  <c r="T163" i="3"/>
  <c r="U163" i="3" s="1"/>
  <c r="S211" i="3"/>
  <c r="Q212" i="3"/>
  <c r="F164" i="3" l="1"/>
  <c r="G164" i="3"/>
  <c r="V164" i="3" s="1"/>
  <c r="E165" i="3"/>
  <c r="D166" i="3"/>
  <c r="J166" i="3"/>
  <c r="H168" i="3"/>
  <c r="I167" i="3"/>
  <c r="K167" i="3" s="1"/>
  <c r="S212" i="3"/>
  <c r="Q213" i="3"/>
  <c r="M165" i="3"/>
  <c r="Z164" i="3"/>
  <c r="AA164" i="3" s="1"/>
  <c r="T164" i="3"/>
  <c r="U164" i="3" s="1"/>
  <c r="F165" i="3" l="1"/>
  <c r="G165" i="3"/>
  <c r="V165" i="3" s="1"/>
  <c r="E166" i="3"/>
  <c r="D167" i="3"/>
  <c r="J167" i="3"/>
  <c r="H169" i="3"/>
  <c r="I168" i="3"/>
  <c r="K168" i="3" s="1"/>
  <c r="S213" i="3"/>
  <c r="Q214" i="3"/>
  <c r="M166" i="3"/>
  <c r="Z165" i="3"/>
  <c r="AA165" i="3" s="1"/>
  <c r="T165" i="3"/>
  <c r="U165" i="3" s="1"/>
  <c r="F166" i="3" l="1"/>
  <c r="G166" i="3"/>
  <c r="V166" i="3" s="1"/>
  <c r="E167" i="3"/>
  <c r="D168" i="3"/>
  <c r="J168" i="3"/>
  <c r="H170" i="3"/>
  <c r="I169" i="3"/>
  <c r="K169" i="3" s="1"/>
  <c r="S214" i="3"/>
  <c r="Q215" i="3"/>
  <c r="M167" i="3"/>
  <c r="Z166" i="3"/>
  <c r="AA166" i="3" s="1"/>
  <c r="T166" i="3"/>
  <c r="U166" i="3" s="1"/>
  <c r="F167" i="3" l="1"/>
  <c r="G167" i="3"/>
  <c r="V167" i="3" s="1"/>
  <c r="E168" i="3"/>
  <c r="D169" i="3"/>
  <c r="J169" i="3"/>
  <c r="H171" i="3"/>
  <c r="I170" i="3"/>
  <c r="K170" i="3" s="1"/>
  <c r="S215" i="3"/>
  <c r="Q216" i="3"/>
  <c r="M168" i="3"/>
  <c r="Z167" i="3"/>
  <c r="AA167" i="3" s="1"/>
  <c r="T167" i="3"/>
  <c r="U167" i="3" s="1"/>
  <c r="F168" i="3" l="1"/>
  <c r="G168" i="3"/>
  <c r="V168" i="3" s="1"/>
  <c r="E169" i="3"/>
  <c r="D170" i="3"/>
  <c r="J170" i="3"/>
  <c r="H172" i="3"/>
  <c r="I171" i="3"/>
  <c r="K171" i="3" s="1"/>
  <c r="S216" i="3"/>
  <c r="Q217" i="3"/>
  <c r="M169" i="3"/>
  <c r="Z168" i="3"/>
  <c r="AA168" i="3" s="1"/>
  <c r="T168" i="3"/>
  <c r="U168" i="3" s="1"/>
  <c r="F169" i="3" l="1"/>
  <c r="G169" i="3"/>
  <c r="V169" i="3" s="1"/>
  <c r="E170" i="3"/>
  <c r="D171" i="3"/>
  <c r="J171" i="3"/>
  <c r="H173" i="3"/>
  <c r="I172" i="3"/>
  <c r="K172" i="3" s="1"/>
  <c r="S217" i="3"/>
  <c r="Q218" i="3"/>
  <c r="M170" i="3"/>
  <c r="Z169" i="3"/>
  <c r="AA169" i="3" s="1"/>
  <c r="T169" i="3"/>
  <c r="U169" i="3" s="1"/>
  <c r="F170" i="3" l="1"/>
  <c r="G170" i="3"/>
  <c r="V170" i="3" s="1"/>
  <c r="E171" i="3"/>
  <c r="D172" i="3"/>
  <c r="J172" i="3"/>
  <c r="H174" i="3"/>
  <c r="I173" i="3"/>
  <c r="K173" i="3" s="1"/>
  <c r="S218" i="3"/>
  <c r="Q219" i="3"/>
  <c r="M171" i="3"/>
  <c r="Z170" i="3"/>
  <c r="AA170" i="3" s="1"/>
  <c r="T170" i="3"/>
  <c r="U170" i="3" s="1"/>
  <c r="F171" i="3" l="1"/>
  <c r="G171" i="3"/>
  <c r="E172" i="3"/>
  <c r="D173" i="3"/>
  <c r="J173" i="3"/>
  <c r="H175" i="3"/>
  <c r="I174" i="3"/>
  <c r="K174" i="3" s="1"/>
  <c r="S219" i="3"/>
  <c r="Q220" i="3"/>
  <c r="M172" i="3"/>
  <c r="Z171" i="3"/>
  <c r="AA171" i="3" s="1"/>
  <c r="T171" i="3"/>
  <c r="F172" i="3" l="1"/>
  <c r="G172" i="3"/>
  <c r="V172" i="3" s="1"/>
  <c r="E173" i="3"/>
  <c r="D174" i="3"/>
  <c r="J174" i="3"/>
  <c r="H176" i="3"/>
  <c r="I175" i="3"/>
  <c r="K175" i="3" s="1"/>
  <c r="U171" i="3"/>
  <c r="S220" i="3"/>
  <c r="Q221" i="3"/>
  <c r="M173" i="3"/>
  <c r="Z172" i="3"/>
  <c r="AA172" i="3" s="1"/>
  <c r="T172" i="3"/>
  <c r="F173" i="3" l="1"/>
  <c r="G173" i="3"/>
  <c r="V173" i="3" s="1"/>
  <c r="E174" i="3"/>
  <c r="D175" i="3"/>
  <c r="U172" i="3"/>
  <c r="J175" i="3"/>
  <c r="H177" i="3"/>
  <c r="I176" i="3"/>
  <c r="K176" i="3" s="1"/>
  <c r="S221" i="3"/>
  <c r="Q222" i="3"/>
  <c r="M174" i="3"/>
  <c r="Z173" i="3"/>
  <c r="AA173" i="3" s="1"/>
  <c r="T173" i="3"/>
  <c r="F174" i="3" l="1"/>
  <c r="G174" i="3"/>
  <c r="V174" i="3" s="1"/>
  <c r="E175" i="3"/>
  <c r="U173" i="3"/>
  <c r="D176" i="3"/>
  <c r="J176" i="3"/>
  <c r="H178" i="3"/>
  <c r="I177" i="3"/>
  <c r="K177" i="3" s="1"/>
  <c r="S222" i="3"/>
  <c r="Q223" i="3"/>
  <c r="M175" i="3"/>
  <c r="Z174" i="3"/>
  <c r="AA174" i="3" s="1"/>
  <c r="T174" i="3"/>
  <c r="F175" i="3" l="1"/>
  <c r="G175" i="3"/>
  <c r="V175" i="3" s="1"/>
  <c r="E176" i="3"/>
  <c r="D177" i="3"/>
  <c r="J177" i="3"/>
  <c r="U174" i="3"/>
  <c r="H179" i="3"/>
  <c r="I178" i="3"/>
  <c r="K178" i="3" s="1"/>
  <c r="S223" i="3"/>
  <c r="Q224" i="3"/>
  <c r="M176" i="3"/>
  <c r="Z175" i="3"/>
  <c r="AA175" i="3" s="1"/>
  <c r="T175" i="3"/>
  <c r="F176" i="3" l="1"/>
  <c r="G176" i="3"/>
  <c r="V176" i="3" s="1"/>
  <c r="E177" i="3"/>
  <c r="D178" i="3"/>
  <c r="U175" i="3"/>
  <c r="J178" i="3"/>
  <c r="H180" i="3"/>
  <c r="I179" i="3"/>
  <c r="K179" i="3" s="1"/>
  <c r="S224" i="3"/>
  <c r="Q225" i="3"/>
  <c r="M177" i="3"/>
  <c r="Z176" i="3"/>
  <c r="AA176" i="3" s="1"/>
  <c r="T176" i="3"/>
  <c r="F177" i="3" l="1"/>
  <c r="G177" i="3"/>
  <c r="V177" i="3" s="1"/>
  <c r="E178" i="3"/>
  <c r="D179" i="3"/>
  <c r="J179" i="3"/>
  <c r="U176" i="3"/>
  <c r="H181" i="3"/>
  <c r="I180" i="3"/>
  <c r="K180" i="3" s="1"/>
  <c r="S225" i="3"/>
  <c r="Q226" i="3"/>
  <c r="M178" i="3"/>
  <c r="Z177" i="3"/>
  <c r="AA177" i="3" s="1"/>
  <c r="T177" i="3"/>
  <c r="F178" i="3" l="1"/>
  <c r="G178" i="3"/>
  <c r="V178" i="3" s="1"/>
  <c r="E179" i="3"/>
  <c r="D180" i="3"/>
  <c r="U177" i="3"/>
  <c r="J180" i="3"/>
  <c r="H182" i="3"/>
  <c r="I181" i="3"/>
  <c r="K181" i="3" s="1"/>
  <c r="S226" i="3"/>
  <c r="Q227" i="3"/>
  <c r="M179" i="3"/>
  <c r="Z178" i="3"/>
  <c r="AA178" i="3" s="1"/>
  <c r="T178" i="3"/>
  <c r="F179" i="3" l="1"/>
  <c r="G179" i="3"/>
  <c r="V179" i="3" s="1"/>
  <c r="E180" i="3"/>
  <c r="U178" i="3"/>
  <c r="D181" i="3"/>
  <c r="H183" i="3"/>
  <c r="I182" i="3"/>
  <c r="K182" i="3" s="1"/>
  <c r="J181" i="3"/>
  <c r="S227" i="3"/>
  <c r="Q228" i="3"/>
  <c r="M180" i="3"/>
  <c r="Z179" i="3"/>
  <c r="AA179" i="3" s="1"/>
  <c r="T179" i="3"/>
  <c r="F180" i="3" l="1"/>
  <c r="G180" i="3"/>
  <c r="V180" i="3" s="1"/>
  <c r="U179" i="3"/>
  <c r="E181" i="3"/>
  <c r="D182" i="3"/>
  <c r="J182" i="3"/>
  <c r="H184" i="3"/>
  <c r="I183" i="3"/>
  <c r="K183" i="3" s="1"/>
  <c r="S228" i="3"/>
  <c r="Q229" i="3"/>
  <c r="M181" i="3"/>
  <c r="Z180" i="3"/>
  <c r="AA180" i="3" s="1"/>
  <c r="T180" i="3"/>
  <c r="F181" i="3" l="1"/>
  <c r="G181" i="3"/>
  <c r="V181" i="3" s="1"/>
  <c r="U180" i="3"/>
  <c r="E182" i="3"/>
  <c r="D183" i="3"/>
  <c r="J183" i="3"/>
  <c r="H185" i="3"/>
  <c r="I184" i="3"/>
  <c r="K184" i="3" s="1"/>
  <c r="S229" i="3"/>
  <c r="Q230" i="3"/>
  <c r="M182" i="3"/>
  <c r="Z181" i="3"/>
  <c r="AA181" i="3" s="1"/>
  <c r="T181" i="3"/>
  <c r="F182" i="3" l="1"/>
  <c r="G182" i="3"/>
  <c r="V182" i="3" s="1"/>
  <c r="U181" i="3"/>
  <c r="E183" i="3"/>
  <c r="D184" i="3"/>
  <c r="J184" i="3"/>
  <c r="H186" i="3"/>
  <c r="I185" i="3"/>
  <c r="K185" i="3" s="1"/>
  <c r="S230" i="3"/>
  <c r="Q231" i="3"/>
  <c r="M183" i="3"/>
  <c r="Z182" i="3"/>
  <c r="AA182" i="3" s="1"/>
  <c r="T182" i="3"/>
  <c r="F183" i="3" l="1"/>
  <c r="G183" i="3"/>
  <c r="V183" i="3" s="1"/>
  <c r="U182" i="3"/>
  <c r="E184" i="3"/>
  <c r="D185" i="3"/>
  <c r="H187" i="3"/>
  <c r="I186" i="3"/>
  <c r="K186" i="3" s="1"/>
  <c r="J185" i="3"/>
  <c r="S231" i="3"/>
  <c r="Q232" i="3"/>
  <c r="M184" i="3"/>
  <c r="Z183" i="3"/>
  <c r="AA183" i="3" s="1"/>
  <c r="T183" i="3"/>
  <c r="F184" i="3" l="1"/>
  <c r="G184" i="3"/>
  <c r="V184" i="3" s="1"/>
  <c r="U183" i="3"/>
  <c r="E185" i="3"/>
  <c r="D186" i="3"/>
  <c r="H188" i="3"/>
  <c r="I187" i="3"/>
  <c r="K187" i="3" s="1"/>
  <c r="J186" i="3"/>
  <c r="S232" i="3"/>
  <c r="Q233" i="3"/>
  <c r="M185" i="3"/>
  <c r="Z184" i="3"/>
  <c r="AA184" i="3" s="1"/>
  <c r="T184" i="3"/>
  <c r="F185" i="3" l="1"/>
  <c r="G185" i="3"/>
  <c r="V185" i="3" s="1"/>
  <c r="U184" i="3"/>
  <c r="E186" i="3"/>
  <c r="D187" i="3"/>
  <c r="J187" i="3"/>
  <c r="H189" i="3"/>
  <c r="I188" i="3"/>
  <c r="K188" i="3" s="1"/>
  <c r="S233" i="3"/>
  <c r="Q234" i="3"/>
  <c r="M186" i="3"/>
  <c r="Z185" i="3"/>
  <c r="AA185" i="3" s="1"/>
  <c r="T185" i="3"/>
  <c r="F186" i="3" l="1"/>
  <c r="G186" i="3"/>
  <c r="V186" i="3" s="1"/>
  <c r="U185" i="3"/>
  <c r="E187" i="3"/>
  <c r="D188" i="3"/>
  <c r="J188" i="3"/>
  <c r="H190" i="3"/>
  <c r="I189" i="3"/>
  <c r="K189" i="3" s="1"/>
  <c r="S234" i="3"/>
  <c r="Q235" i="3"/>
  <c r="M187" i="3"/>
  <c r="Z186" i="3"/>
  <c r="AA186" i="3" s="1"/>
  <c r="T186" i="3"/>
  <c r="F187" i="3" l="1"/>
  <c r="G187" i="3"/>
  <c r="V187" i="3" s="1"/>
  <c r="U186" i="3"/>
  <c r="E188" i="3"/>
  <c r="D189" i="3"/>
  <c r="J189" i="3"/>
  <c r="H191" i="3"/>
  <c r="I190" i="3"/>
  <c r="K190" i="3" s="1"/>
  <c r="S235" i="3"/>
  <c r="Q236" i="3"/>
  <c r="M188" i="3"/>
  <c r="Z187" i="3"/>
  <c r="AA187" i="3" s="1"/>
  <c r="T187" i="3"/>
  <c r="F188" i="3" l="1"/>
  <c r="G188" i="3"/>
  <c r="V188" i="3" s="1"/>
  <c r="U187" i="3"/>
  <c r="E189" i="3"/>
  <c r="D190" i="3"/>
  <c r="J190" i="3"/>
  <c r="H192" i="3"/>
  <c r="I191" i="3"/>
  <c r="K191" i="3" s="1"/>
  <c r="S236" i="3"/>
  <c r="Q237" i="3"/>
  <c r="M189" i="3"/>
  <c r="Z188" i="3"/>
  <c r="AA188" i="3" s="1"/>
  <c r="T188" i="3"/>
  <c r="F189" i="3" l="1"/>
  <c r="G189" i="3"/>
  <c r="V189" i="3" s="1"/>
  <c r="U188" i="3"/>
  <c r="E190" i="3"/>
  <c r="D191" i="3"/>
  <c r="J191" i="3"/>
  <c r="H193" i="3"/>
  <c r="I192" i="3"/>
  <c r="K192" i="3" s="1"/>
  <c r="S237" i="3"/>
  <c r="Q238" i="3"/>
  <c r="M190" i="3"/>
  <c r="Z189" i="3"/>
  <c r="AA189" i="3" s="1"/>
  <c r="T189" i="3"/>
  <c r="F190" i="3" l="1"/>
  <c r="G190" i="3"/>
  <c r="V190" i="3" s="1"/>
  <c r="U189" i="3"/>
  <c r="E191" i="3"/>
  <c r="D192" i="3"/>
  <c r="J192" i="3"/>
  <c r="H194" i="3"/>
  <c r="I193" i="3"/>
  <c r="K193" i="3" s="1"/>
  <c r="S238" i="3"/>
  <c r="Q239" i="3"/>
  <c r="M191" i="3"/>
  <c r="Z190" i="3"/>
  <c r="AA190" i="3" s="1"/>
  <c r="T190" i="3"/>
  <c r="F191" i="3" l="1"/>
  <c r="G191" i="3"/>
  <c r="V191" i="3" s="1"/>
  <c r="U190" i="3"/>
  <c r="E192" i="3"/>
  <c r="D193" i="3"/>
  <c r="J193" i="3"/>
  <c r="H195" i="3"/>
  <c r="I194" i="3"/>
  <c r="K194" i="3" s="1"/>
  <c r="S239" i="3"/>
  <c r="Q240" i="3"/>
  <c r="M192" i="3"/>
  <c r="Z191" i="3"/>
  <c r="AA191" i="3" s="1"/>
  <c r="T191" i="3"/>
  <c r="U191" i="3" l="1"/>
  <c r="F192" i="3"/>
  <c r="G192" i="3"/>
  <c r="V192" i="3" s="1"/>
  <c r="E193" i="3"/>
  <c r="D194" i="3"/>
  <c r="J194" i="3"/>
  <c r="H196" i="3"/>
  <c r="I195" i="3"/>
  <c r="K195" i="3" s="1"/>
  <c r="S240" i="3"/>
  <c r="Q241" i="3"/>
  <c r="M193" i="3"/>
  <c r="Z192" i="3"/>
  <c r="AA192" i="3" s="1"/>
  <c r="T192" i="3"/>
  <c r="U192" i="3" s="1"/>
  <c r="F193" i="3" l="1"/>
  <c r="G193" i="3"/>
  <c r="V193" i="3" s="1"/>
  <c r="E194" i="3"/>
  <c r="D195" i="3"/>
  <c r="J195" i="3"/>
  <c r="H197" i="3"/>
  <c r="I196" i="3"/>
  <c r="K196" i="3" s="1"/>
  <c r="S241" i="3"/>
  <c r="Q242" i="3"/>
  <c r="M194" i="3"/>
  <c r="T193" i="3"/>
  <c r="U193" i="3" s="1"/>
  <c r="Z193" i="3"/>
  <c r="AA193" i="3" s="1"/>
  <c r="F194" i="3" l="1"/>
  <c r="G194" i="3"/>
  <c r="V194" i="3" s="1"/>
  <c r="E195" i="3"/>
  <c r="D196" i="3"/>
  <c r="J196" i="3"/>
  <c r="H198" i="3"/>
  <c r="I197" i="3"/>
  <c r="K197" i="3" s="1"/>
  <c r="S242" i="3"/>
  <c r="Q243" i="3"/>
  <c r="M195" i="3"/>
  <c r="Z194" i="3"/>
  <c r="AA194" i="3" s="1"/>
  <c r="T194" i="3"/>
  <c r="U194" i="3" s="1"/>
  <c r="F195" i="3" l="1"/>
  <c r="G195" i="3"/>
  <c r="V195" i="3" s="1"/>
  <c r="E196" i="3"/>
  <c r="D197" i="3"/>
  <c r="J197" i="3"/>
  <c r="H199" i="3"/>
  <c r="I198" i="3"/>
  <c r="K198" i="3" s="1"/>
  <c r="S243" i="3"/>
  <c r="Q244" i="3"/>
  <c r="M196" i="3"/>
  <c r="Z195" i="3"/>
  <c r="AA195" i="3" s="1"/>
  <c r="T195" i="3"/>
  <c r="U195" i="3" s="1"/>
  <c r="F196" i="3" l="1"/>
  <c r="G196" i="3"/>
  <c r="V196" i="3" s="1"/>
  <c r="E197" i="3"/>
  <c r="D198" i="3"/>
  <c r="J198" i="3"/>
  <c r="H200" i="3"/>
  <c r="I199" i="3"/>
  <c r="K199" i="3" s="1"/>
  <c r="S244" i="3"/>
  <c r="Q245" i="3"/>
  <c r="M197" i="3"/>
  <c r="Z196" i="3"/>
  <c r="AA196" i="3" s="1"/>
  <c r="T196" i="3"/>
  <c r="U196" i="3" s="1"/>
  <c r="F197" i="3" l="1"/>
  <c r="G197" i="3"/>
  <c r="V197" i="3" s="1"/>
  <c r="E198" i="3"/>
  <c r="D199" i="3"/>
  <c r="J199" i="3"/>
  <c r="H201" i="3"/>
  <c r="I200" i="3"/>
  <c r="K200" i="3" s="1"/>
  <c r="S245" i="3"/>
  <c r="Q246" i="3"/>
  <c r="M198" i="3"/>
  <c r="Z197" i="3"/>
  <c r="AA197" i="3" s="1"/>
  <c r="T197" i="3"/>
  <c r="U197" i="3" s="1"/>
  <c r="F198" i="3" l="1"/>
  <c r="G198" i="3"/>
  <c r="V198" i="3" s="1"/>
  <c r="E199" i="3"/>
  <c r="D200" i="3"/>
  <c r="J200" i="3"/>
  <c r="H202" i="3"/>
  <c r="I201" i="3"/>
  <c r="K201" i="3" s="1"/>
  <c r="S246" i="3"/>
  <c r="Q247" i="3"/>
  <c r="M199" i="3"/>
  <c r="Z198" i="3"/>
  <c r="AA198" i="3" s="1"/>
  <c r="T198" i="3"/>
  <c r="U198" i="3" s="1"/>
  <c r="F199" i="3" l="1"/>
  <c r="G199" i="3"/>
  <c r="V199" i="3" s="1"/>
  <c r="E200" i="3"/>
  <c r="G200" i="3" s="1"/>
  <c r="V200" i="3" s="1"/>
  <c r="D201" i="3"/>
  <c r="J201" i="3"/>
  <c r="H203" i="3"/>
  <c r="I202" i="3"/>
  <c r="K202" i="3" s="1"/>
  <c r="S247" i="3"/>
  <c r="Q248" i="3"/>
  <c r="M200" i="3"/>
  <c r="Z199" i="3"/>
  <c r="AA199" i="3" s="1"/>
  <c r="T199" i="3"/>
  <c r="U199" i="3" s="1"/>
  <c r="F200" i="3" l="1"/>
  <c r="E201" i="3"/>
  <c r="D202" i="3"/>
  <c r="J202" i="3"/>
  <c r="H204" i="3"/>
  <c r="I203" i="3"/>
  <c r="K203" i="3" s="1"/>
  <c r="S248" i="3"/>
  <c r="Q249" i="3"/>
  <c r="M201" i="3"/>
  <c r="Z200" i="3"/>
  <c r="AA200" i="3" s="1"/>
  <c r="T200" i="3"/>
  <c r="U200" i="3" s="1"/>
  <c r="F201" i="3" l="1"/>
  <c r="E202" i="3"/>
  <c r="D203" i="3"/>
  <c r="J203" i="3"/>
  <c r="H205" i="3"/>
  <c r="I204" i="3"/>
  <c r="K204" i="3" s="1"/>
  <c r="S249" i="3"/>
  <c r="Q250" i="3"/>
  <c r="M202" i="3"/>
  <c r="Z201" i="3"/>
  <c r="AA201" i="3" s="1"/>
  <c r="T201" i="3"/>
  <c r="F202" i="3" l="1"/>
  <c r="G202" i="3"/>
  <c r="V202" i="3" s="1"/>
  <c r="E203" i="3"/>
  <c r="D204" i="3"/>
  <c r="J204" i="3"/>
  <c r="H206" i="3"/>
  <c r="I205" i="3"/>
  <c r="K205" i="3" s="1"/>
  <c r="U201" i="3"/>
  <c r="S250" i="3"/>
  <c r="Q251" i="3"/>
  <c r="M203" i="3"/>
  <c r="Z202" i="3"/>
  <c r="AA202" i="3" s="1"/>
  <c r="T202" i="3"/>
  <c r="F203" i="3" l="1"/>
  <c r="G203" i="3"/>
  <c r="V203" i="3" s="1"/>
  <c r="E204" i="3"/>
  <c r="D205" i="3"/>
  <c r="U202" i="3"/>
  <c r="H207" i="3"/>
  <c r="I206" i="3"/>
  <c r="K206" i="3" s="1"/>
  <c r="J205" i="3"/>
  <c r="S251" i="3"/>
  <c r="Q252" i="3"/>
  <c r="M204" i="3"/>
  <c r="Z203" i="3"/>
  <c r="AA203" i="3" s="1"/>
  <c r="T203" i="3"/>
  <c r="F204" i="3" l="1"/>
  <c r="G204" i="3"/>
  <c r="V204" i="3" s="1"/>
  <c r="E205" i="3"/>
  <c r="D206" i="3"/>
  <c r="U203" i="3"/>
  <c r="J206" i="3"/>
  <c r="H208" i="3"/>
  <c r="I207" i="3"/>
  <c r="K207" i="3" s="1"/>
  <c r="S252" i="3"/>
  <c r="Q253" i="3"/>
  <c r="M205" i="3"/>
  <c r="Z204" i="3"/>
  <c r="AA204" i="3" s="1"/>
  <c r="T204" i="3"/>
  <c r="F205" i="3" l="1"/>
  <c r="G205" i="3"/>
  <c r="V205" i="3" s="1"/>
  <c r="E206" i="3"/>
  <c r="D207" i="3"/>
  <c r="U204" i="3"/>
  <c r="J207" i="3"/>
  <c r="H209" i="3"/>
  <c r="I208" i="3"/>
  <c r="K208" i="3" s="1"/>
  <c r="S253" i="3"/>
  <c r="Q254" i="3"/>
  <c r="M206" i="3"/>
  <c r="Z205" i="3"/>
  <c r="AA205" i="3" s="1"/>
  <c r="T205" i="3"/>
  <c r="F206" i="3" l="1"/>
  <c r="G206" i="3"/>
  <c r="V206" i="3" s="1"/>
  <c r="E207" i="3"/>
  <c r="D208" i="3"/>
  <c r="J208" i="3"/>
  <c r="U205" i="3"/>
  <c r="H210" i="3"/>
  <c r="I209" i="3"/>
  <c r="K209" i="3" s="1"/>
  <c r="S254" i="3"/>
  <c r="Q255" i="3"/>
  <c r="M207" i="3"/>
  <c r="Z206" i="3"/>
  <c r="AA206" i="3" s="1"/>
  <c r="T206" i="3"/>
  <c r="F207" i="3" l="1"/>
  <c r="G207" i="3"/>
  <c r="V207" i="3" s="1"/>
  <c r="E208" i="3"/>
  <c r="D209" i="3"/>
  <c r="U206" i="3"/>
  <c r="J209" i="3"/>
  <c r="H211" i="3"/>
  <c r="I210" i="3"/>
  <c r="K210" i="3" s="1"/>
  <c r="S255" i="3"/>
  <c r="Q256" i="3"/>
  <c r="M208" i="3"/>
  <c r="Z207" i="3"/>
  <c r="AA207" i="3" s="1"/>
  <c r="T207" i="3"/>
  <c r="F208" i="3" l="1"/>
  <c r="G208" i="3"/>
  <c r="V208" i="3" s="1"/>
  <c r="E209" i="3"/>
  <c r="D210" i="3"/>
  <c r="J210" i="3"/>
  <c r="U207" i="3"/>
  <c r="H212" i="3"/>
  <c r="I211" i="3"/>
  <c r="K211" i="3" s="1"/>
  <c r="S256" i="3"/>
  <c r="Q257" i="3"/>
  <c r="M209" i="3"/>
  <c r="Z208" i="3"/>
  <c r="AA208" i="3" s="1"/>
  <c r="T208" i="3"/>
  <c r="F209" i="3" l="1"/>
  <c r="G209" i="3"/>
  <c r="V209" i="3" s="1"/>
  <c r="E210" i="3"/>
  <c r="D211" i="3"/>
  <c r="U208" i="3"/>
  <c r="J211" i="3"/>
  <c r="H213" i="3"/>
  <c r="I212" i="3"/>
  <c r="K212" i="3" s="1"/>
  <c r="S257" i="3"/>
  <c r="Q258" i="3"/>
  <c r="M210" i="3"/>
  <c r="T209" i="3"/>
  <c r="Z209" i="3"/>
  <c r="AA209" i="3" s="1"/>
  <c r="F210" i="3" l="1"/>
  <c r="G210" i="3"/>
  <c r="V210" i="3" s="1"/>
  <c r="E211" i="3"/>
  <c r="D212" i="3"/>
  <c r="U209" i="3"/>
  <c r="H214" i="3"/>
  <c r="I213" i="3"/>
  <c r="K213" i="3" s="1"/>
  <c r="J212" i="3"/>
  <c r="S258" i="3"/>
  <c r="Q259" i="3"/>
  <c r="M211" i="3"/>
  <c r="Z210" i="3"/>
  <c r="AA210" i="3" s="1"/>
  <c r="T210" i="3"/>
  <c r="F211" i="3" l="1"/>
  <c r="G211" i="3"/>
  <c r="V211" i="3" s="1"/>
  <c r="E212" i="3"/>
  <c r="D213" i="3"/>
  <c r="J213" i="3"/>
  <c r="U210" i="3"/>
  <c r="H215" i="3"/>
  <c r="I214" i="3"/>
  <c r="K214" i="3" s="1"/>
  <c r="S259" i="3"/>
  <c r="Q260" i="3"/>
  <c r="M212" i="3"/>
  <c r="Z211" i="3"/>
  <c r="AA211" i="3" s="1"/>
  <c r="T211" i="3"/>
  <c r="F212" i="3" l="1"/>
  <c r="G212" i="3"/>
  <c r="V212" i="3" s="1"/>
  <c r="E213" i="3"/>
  <c r="D214" i="3"/>
  <c r="U211" i="3"/>
  <c r="J214" i="3"/>
  <c r="H216" i="3"/>
  <c r="I215" i="3"/>
  <c r="K215" i="3" s="1"/>
  <c r="S260" i="3"/>
  <c r="Q261" i="3"/>
  <c r="M213" i="3"/>
  <c r="Z212" i="3"/>
  <c r="AA212" i="3" s="1"/>
  <c r="T212" i="3"/>
  <c r="F213" i="3" l="1"/>
  <c r="G213" i="3"/>
  <c r="V213" i="3" s="1"/>
  <c r="E214" i="3"/>
  <c r="D215" i="3"/>
  <c r="U212" i="3"/>
  <c r="J215" i="3"/>
  <c r="H217" i="3"/>
  <c r="I216" i="3"/>
  <c r="K216" i="3" s="1"/>
  <c r="S261" i="3"/>
  <c r="Q262" i="3"/>
  <c r="M214" i="3"/>
  <c r="Z213" i="3"/>
  <c r="AA213" i="3" s="1"/>
  <c r="T213" i="3"/>
  <c r="F214" i="3" l="1"/>
  <c r="G214" i="3"/>
  <c r="V214" i="3" s="1"/>
  <c r="E215" i="3"/>
  <c r="U213" i="3"/>
  <c r="D216" i="3"/>
  <c r="J216" i="3"/>
  <c r="H218" i="3"/>
  <c r="I217" i="3"/>
  <c r="K217" i="3" s="1"/>
  <c r="S262" i="3"/>
  <c r="Q263" i="3"/>
  <c r="M215" i="3"/>
  <c r="Z214" i="3"/>
  <c r="AA214" i="3" s="1"/>
  <c r="T214" i="3"/>
  <c r="F215" i="3" l="1"/>
  <c r="G215" i="3"/>
  <c r="V215" i="3" s="1"/>
  <c r="U214" i="3"/>
  <c r="E216" i="3"/>
  <c r="G216" i="3" s="1"/>
  <c r="V216" i="3" s="1"/>
  <c r="D217" i="3"/>
  <c r="H219" i="3"/>
  <c r="I218" i="3"/>
  <c r="K218" i="3" s="1"/>
  <c r="J217" i="3"/>
  <c r="S263" i="3"/>
  <c r="Q264" i="3"/>
  <c r="M216" i="3"/>
  <c r="Z215" i="3"/>
  <c r="AA215" i="3" s="1"/>
  <c r="T215" i="3"/>
  <c r="F216" i="3" l="1"/>
  <c r="U215" i="3"/>
  <c r="E217" i="3"/>
  <c r="G217" i="3" s="1"/>
  <c r="V217" i="3" s="1"/>
  <c r="D218" i="3"/>
  <c r="H220" i="3"/>
  <c r="I219" i="3"/>
  <c r="K219" i="3" s="1"/>
  <c r="J218" i="3"/>
  <c r="S264" i="3"/>
  <c r="Q265" i="3"/>
  <c r="M217" i="3"/>
  <c r="Z216" i="3"/>
  <c r="AA216" i="3" s="1"/>
  <c r="T216" i="3"/>
  <c r="F217" i="3" l="1"/>
  <c r="U216" i="3"/>
  <c r="E218" i="3"/>
  <c r="G218" i="3" s="1"/>
  <c r="V218" i="3" s="1"/>
  <c r="D219" i="3"/>
  <c r="J219" i="3"/>
  <c r="H221" i="3"/>
  <c r="I220" i="3"/>
  <c r="K220" i="3" s="1"/>
  <c r="S265" i="3"/>
  <c r="Q266" i="3"/>
  <c r="M218" i="3"/>
  <c r="Z217" i="3"/>
  <c r="AA217" i="3" s="1"/>
  <c r="T217" i="3"/>
  <c r="U217" i="3" l="1"/>
  <c r="F218" i="3"/>
  <c r="E219" i="3"/>
  <c r="G219" i="3" s="1"/>
  <c r="V219" i="3" s="1"/>
  <c r="D220" i="3"/>
  <c r="H222" i="3"/>
  <c r="I221" i="3"/>
  <c r="K221" i="3" s="1"/>
  <c r="J220" i="3"/>
  <c r="S266" i="3"/>
  <c r="Q267" i="3"/>
  <c r="M219" i="3"/>
  <c r="Z218" i="3"/>
  <c r="AA218" i="3" s="1"/>
  <c r="T218" i="3"/>
  <c r="U218" i="3" l="1"/>
  <c r="F219" i="3"/>
  <c r="E220" i="3"/>
  <c r="G220" i="3" s="1"/>
  <c r="V220" i="3" s="1"/>
  <c r="D221" i="3"/>
  <c r="J221" i="3"/>
  <c r="H223" i="3"/>
  <c r="I222" i="3"/>
  <c r="K222" i="3" s="1"/>
  <c r="S267" i="3"/>
  <c r="Q268" i="3"/>
  <c r="M220" i="3"/>
  <c r="Z219" i="3"/>
  <c r="AA219" i="3" s="1"/>
  <c r="T219" i="3"/>
  <c r="U219" i="3" l="1"/>
  <c r="F220" i="3"/>
  <c r="E221" i="3"/>
  <c r="G221" i="3" s="1"/>
  <c r="V221" i="3" s="1"/>
  <c r="D222" i="3"/>
  <c r="J222" i="3"/>
  <c r="H224" i="3"/>
  <c r="I223" i="3"/>
  <c r="K223" i="3" s="1"/>
  <c r="S268" i="3"/>
  <c r="Q269" i="3"/>
  <c r="M221" i="3"/>
  <c r="Z220" i="3"/>
  <c r="AA220" i="3" s="1"/>
  <c r="T220" i="3"/>
  <c r="U220" i="3" l="1"/>
  <c r="F221" i="3"/>
  <c r="E222" i="3"/>
  <c r="G222" i="3" s="1"/>
  <c r="V222" i="3" s="1"/>
  <c r="D223" i="3"/>
  <c r="J223" i="3"/>
  <c r="H225" i="3"/>
  <c r="I224" i="3"/>
  <c r="K224" i="3" s="1"/>
  <c r="S269" i="3"/>
  <c r="Q270" i="3"/>
  <c r="M222" i="3"/>
  <c r="Z221" i="3"/>
  <c r="AA221" i="3" s="1"/>
  <c r="T221" i="3"/>
  <c r="U221" i="3" l="1"/>
  <c r="F222" i="3"/>
  <c r="E223" i="3"/>
  <c r="G223" i="3" s="1"/>
  <c r="V223" i="3" s="1"/>
  <c r="D224" i="3"/>
  <c r="J224" i="3"/>
  <c r="H226" i="3"/>
  <c r="I225" i="3"/>
  <c r="K225" i="3" s="1"/>
  <c r="S270" i="3"/>
  <c r="Q271" i="3"/>
  <c r="M223" i="3"/>
  <c r="Z222" i="3"/>
  <c r="AA222" i="3" s="1"/>
  <c r="T222" i="3"/>
  <c r="U222" i="3" s="1"/>
  <c r="F223" i="3" l="1"/>
  <c r="E224" i="3"/>
  <c r="G224" i="3" s="1"/>
  <c r="V224" i="3" s="1"/>
  <c r="D225" i="3"/>
  <c r="J225" i="3"/>
  <c r="H227" i="3"/>
  <c r="I226" i="3"/>
  <c r="K226" i="3" s="1"/>
  <c r="S271" i="3"/>
  <c r="Q272" i="3"/>
  <c r="M224" i="3"/>
  <c r="Z223" i="3"/>
  <c r="AA223" i="3" s="1"/>
  <c r="T223" i="3"/>
  <c r="U223" i="3" s="1"/>
  <c r="F224" i="3" l="1"/>
  <c r="E225" i="3"/>
  <c r="G225" i="3" s="1"/>
  <c r="V225" i="3" s="1"/>
  <c r="D226" i="3"/>
  <c r="H228" i="3"/>
  <c r="I227" i="3"/>
  <c r="K227" i="3" s="1"/>
  <c r="J226" i="3"/>
  <c r="S272" i="3"/>
  <c r="Q273" i="3"/>
  <c r="M225" i="3"/>
  <c r="Z224" i="3"/>
  <c r="AA224" i="3" s="1"/>
  <c r="T224" i="3"/>
  <c r="U224" i="3" s="1"/>
  <c r="F225" i="3" l="1"/>
  <c r="E226" i="3"/>
  <c r="G226" i="3" s="1"/>
  <c r="V226" i="3" s="1"/>
  <c r="D227" i="3"/>
  <c r="J227" i="3"/>
  <c r="H229" i="3"/>
  <c r="I228" i="3"/>
  <c r="K228" i="3" s="1"/>
  <c r="S273" i="3"/>
  <c r="Q274" i="3"/>
  <c r="M226" i="3"/>
  <c r="Z225" i="3"/>
  <c r="AA225" i="3" s="1"/>
  <c r="T225" i="3"/>
  <c r="U225" i="3" s="1"/>
  <c r="F226" i="3" l="1"/>
  <c r="E227" i="3"/>
  <c r="G227" i="3" s="1"/>
  <c r="V227" i="3" s="1"/>
  <c r="D228" i="3"/>
  <c r="H230" i="3"/>
  <c r="I229" i="3"/>
  <c r="K229" i="3" s="1"/>
  <c r="J228" i="3"/>
  <c r="S274" i="3"/>
  <c r="Q275" i="3"/>
  <c r="M227" i="3"/>
  <c r="Z226" i="3"/>
  <c r="AA226" i="3" s="1"/>
  <c r="T226" i="3"/>
  <c r="U226" i="3" s="1"/>
  <c r="F227" i="3" l="1"/>
  <c r="E228" i="3"/>
  <c r="G228" i="3" s="1"/>
  <c r="V228" i="3" s="1"/>
  <c r="D229" i="3"/>
  <c r="J229" i="3"/>
  <c r="H231" i="3"/>
  <c r="I230" i="3"/>
  <c r="K230" i="3" s="1"/>
  <c r="S275" i="3"/>
  <c r="Q276" i="3"/>
  <c r="M228" i="3"/>
  <c r="Z227" i="3"/>
  <c r="AA227" i="3" s="1"/>
  <c r="T227" i="3"/>
  <c r="U227" i="3" s="1"/>
  <c r="F228" i="3" l="1"/>
  <c r="E229" i="3"/>
  <c r="G229" i="3" s="1"/>
  <c r="V229" i="3" s="1"/>
  <c r="D230" i="3"/>
  <c r="H232" i="3"/>
  <c r="I231" i="3"/>
  <c r="K231" i="3" s="1"/>
  <c r="J230" i="3"/>
  <c r="S276" i="3"/>
  <c r="Q277" i="3"/>
  <c r="M229" i="3"/>
  <c r="Z228" i="3"/>
  <c r="AA228" i="3" s="1"/>
  <c r="T228" i="3"/>
  <c r="U228" i="3" s="1"/>
  <c r="F229" i="3" l="1"/>
  <c r="J231" i="3"/>
  <c r="E230" i="3"/>
  <c r="G230" i="3" s="1"/>
  <c r="V230" i="3" s="1"/>
  <c r="D231" i="3"/>
  <c r="H233" i="3"/>
  <c r="I232" i="3"/>
  <c r="K232" i="3" s="1"/>
  <c r="S277" i="3"/>
  <c r="Q278" i="3"/>
  <c r="M230" i="3"/>
  <c r="Z229" i="3"/>
  <c r="AA229" i="3" s="1"/>
  <c r="T229" i="3"/>
  <c r="U229" i="3" s="1"/>
  <c r="F230" i="3" l="1"/>
  <c r="E231" i="3"/>
  <c r="D232" i="3"/>
  <c r="H234" i="3"/>
  <c r="I233" i="3"/>
  <c r="K233" i="3" s="1"/>
  <c r="J232" i="3"/>
  <c r="S278" i="3"/>
  <c r="Q279" i="3"/>
  <c r="M231" i="3"/>
  <c r="Z230" i="3"/>
  <c r="AA230" i="3" s="1"/>
  <c r="T230" i="3"/>
  <c r="U230" i="3" s="1"/>
  <c r="F231" i="3" l="1"/>
  <c r="G231" i="3"/>
  <c r="V231" i="3" s="1"/>
  <c r="E232" i="3"/>
  <c r="D233" i="3"/>
  <c r="J233" i="3"/>
  <c r="H235" i="3"/>
  <c r="I234" i="3"/>
  <c r="K234" i="3" s="1"/>
  <c r="S279" i="3"/>
  <c r="Q280" i="3"/>
  <c r="M232" i="3"/>
  <c r="Z231" i="3"/>
  <c r="AA231" i="3" s="1"/>
  <c r="T231" i="3"/>
  <c r="U231" i="3" s="1"/>
  <c r="F232" i="3" l="1"/>
  <c r="G232" i="3"/>
  <c r="E233" i="3"/>
  <c r="D234" i="3"/>
  <c r="H236" i="3"/>
  <c r="I235" i="3"/>
  <c r="K235" i="3" s="1"/>
  <c r="J234" i="3"/>
  <c r="S280" i="3"/>
  <c r="Q281" i="3"/>
  <c r="M233" i="3"/>
  <c r="Z232" i="3"/>
  <c r="AA232" i="3" s="1"/>
  <c r="T232" i="3"/>
  <c r="F233" i="3" l="1"/>
  <c r="G233" i="3"/>
  <c r="V233" i="3" s="1"/>
  <c r="E234" i="3"/>
  <c r="D235" i="3"/>
  <c r="J235" i="3"/>
  <c r="H237" i="3"/>
  <c r="I236" i="3"/>
  <c r="K236" i="3" s="1"/>
  <c r="U232" i="3"/>
  <c r="S281" i="3"/>
  <c r="Q282" i="3"/>
  <c r="M234" i="3"/>
  <c r="Z233" i="3"/>
  <c r="AA233" i="3" s="1"/>
  <c r="T233" i="3"/>
  <c r="F234" i="3" l="1"/>
  <c r="G234" i="3"/>
  <c r="V234" i="3" s="1"/>
  <c r="E235" i="3"/>
  <c r="D236" i="3"/>
  <c r="U233" i="3"/>
  <c r="J236" i="3"/>
  <c r="H238" i="3"/>
  <c r="I237" i="3"/>
  <c r="K237" i="3" s="1"/>
  <c r="S282" i="3"/>
  <c r="Q283" i="3"/>
  <c r="M235" i="3"/>
  <c r="Z234" i="3"/>
  <c r="AA234" i="3" s="1"/>
  <c r="T234" i="3"/>
  <c r="F235" i="3" l="1"/>
  <c r="G235" i="3"/>
  <c r="V235" i="3" s="1"/>
  <c r="E236" i="3"/>
  <c r="D237" i="3"/>
  <c r="H239" i="3"/>
  <c r="I238" i="3"/>
  <c r="K238" i="3" s="1"/>
  <c r="J237" i="3"/>
  <c r="U234" i="3"/>
  <c r="S283" i="3"/>
  <c r="Q284" i="3"/>
  <c r="M236" i="3"/>
  <c r="Z235" i="3"/>
  <c r="AA235" i="3" s="1"/>
  <c r="T235" i="3"/>
  <c r="F236" i="3" l="1"/>
  <c r="G236" i="3"/>
  <c r="V236" i="3" s="1"/>
  <c r="E237" i="3"/>
  <c r="D238" i="3"/>
  <c r="U235" i="3"/>
  <c r="J238" i="3"/>
  <c r="H240" i="3"/>
  <c r="I239" i="3"/>
  <c r="K239" i="3" s="1"/>
  <c r="S284" i="3"/>
  <c r="Q285" i="3"/>
  <c r="M237" i="3"/>
  <c r="Z236" i="3"/>
  <c r="AA236" i="3" s="1"/>
  <c r="T236" i="3"/>
  <c r="F237" i="3" l="1"/>
  <c r="G237" i="3"/>
  <c r="V237" i="3" s="1"/>
  <c r="E238" i="3"/>
  <c r="D239" i="3"/>
  <c r="J239" i="3"/>
  <c r="H241" i="3"/>
  <c r="I240" i="3"/>
  <c r="K240" i="3" s="1"/>
  <c r="U236" i="3"/>
  <c r="S285" i="3"/>
  <c r="Q286" i="3"/>
  <c r="M238" i="3"/>
  <c r="Z237" i="3"/>
  <c r="AA237" i="3" s="1"/>
  <c r="T237" i="3"/>
  <c r="F238" i="3" l="1"/>
  <c r="G238" i="3"/>
  <c r="V238" i="3" s="1"/>
  <c r="E239" i="3"/>
  <c r="D240" i="3"/>
  <c r="U237" i="3"/>
  <c r="H242" i="3"/>
  <c r="I241" i="3"/>
  <c r="K241" i="3" s="1"/>
  <c r="J240" i="3"/>
  <c r="S286" i="3"/>
  <c r="Q287" i="3"/>
  <c r="M239" i="3"/>
  <c r="Z238" i="3"/>
  <c r="AA238" i="3" s="1"/>
  <c r="T238" i="3"/>
  <c r="U238" i="3" l="1"/>
  <c r="F239" i="3"/>
  <c r="G239" i="3"/>
  <c r="V239" i="3" s="1"/>
  <c r="E240" i="3"/>
  <c r="D241" i="3"/>
  <c r="J241" i="3"/>
  <c r="H243" i="3"/>
  <c r="I242" i="3"/>
  <c r="K242" i="3" s="1"/>
  <c r="S287" i="3"/>
  <c r="Q288" i="3"/>
  <c r="M240" i="3"/>
  <c r="Z239" i="3"/>
  <c r="AA239" i="3" s="1"/>
  <c r="T239" i="3"/>
  <c r="U239" i="3" s="1"/>
  <c r="F240" i="3" l="1"/>
  <c r="G240" i="3"/>
  <c r="V240" i="3" s="1"/>
  <c r="E241" i="3"/>
  <c r="D242" i="3"/>
  <c r="H244" i="3"/>
  <c r="I243" i="3"/>
  <c r="K243" i="3" s="1"/>
  <c r="J242" i="3"/>
  <c r="S288" i="3"/>
  <c r="Q289" i="3"/>
  <c r="M241" i="3"/>
  <c r="Z240" i="3"/>
  <c r="AA240" i="3" s="1"/>
  <c r="T240" i="3"/>
  <c r="U240" i="3" s="1"/>
  <c r="F241" i="3" l="1"/>
  <c r="G241" i="3"/>
  <c r="V241" i="3" s="1"/>
  <c r="E242" i="3"/>
  <c r="D243" i="3"/>
  <c r="J243" i="3"/>
  <c r="H245" i="3"/>
  <c r="I244" i="3"/>
  <c r="K244" i="3" s="1"/>
  <c r="S289" i="3"/>
  <c r="Q290" i="3"/>
  <c r="M242" i="3"/>
  <c r="Z241" i="3"/>
  <c r="AA241" i="3" s="1"/>
  <c r="T241" i="3"/>
  <c r="U241" i="3" s="1"/>
  <c r="F242" i="3" l="1"/>
  <c r="G242" i="3"/>
  <c r="V242" i="3" s="1"/>
  <c r="E243" i="3"/>
  <c r="D244" i="3"/>
  <c r="J244" i="3"/>
  <c r="H246" i="3"/>
  <c r="I245" i="3"/>
  <c r="K245" i="3" s="1"/>
  <c r="S290" i="3"/>
  <c r="Q291" i="3"/>
  <c r="M243" i="3"/>
  <c r="Z242" i="3"/>
  <c r="AA242" i="3" s="1"/>
  <c r="T242" i="3"/>
  <c r="U242" i="3" s="1"/>
  <c r="F243" i="3" l="1"/>
  <c r="G243" i="3"/>
  <c r="V243" i="3" s="1"/>
  <c r="E244" i="3"/>
  <c r="D245" i="3"/>
  <c r="J245" i="3"/>
  <c r="H247" i="3"/>
  <c r="I246" i="3"/>
  <c r="K246" i="3" s="1"/>
  <c r="S291" i="3"/>
  <c r="Q292" i="3"/>
  <c r="M244" i="3"/>
  <c r="Z243" i="3"/>
  <c r="AA243" i="3" s="1"/>
  <c r="T243" i="3"/>
  <c r="U243" i="3" s="1"/>
  <c r="F244" i="3" l="1"/>
  <c r="G244" i="3"/>
  <c r="V244" i="3" s="1"/>
  <c r="E245" i="3"/>
  <c r="D246" i="3"/>
  <c r="H248" i="3"/>
  <c r="I247" i="3"/>
  <c r="K247" i="3" s="1"/>
  <c r="J246" i="3"/>
  <c r="S292" i="3"/>
  <c r="Q293" i="3"/>
  <c r="M245" i="3"/>
  <c r="Z244" i="3"/>
  <c r="AA244" i="3" s="1"/>
  <c r="T244" i="3"/>
  <c r="U244" i="3" s="1"/>
  <c r="F245" i="3" l="1"/>
  <c r="G245" i="3"/>
  <c r="V245" i="3" s="1"/>
  <c r="E246" i="3"/>
  <c r="D247" i="3"/>
  <c r="J247" i="3"/>
  <c r="H249" i="3"/>
  <c r="I248" i="3"/>
  <c r="K248" i="3" s="1"/>
  <c r="S293" i="3"/>
  <c r="Q294" i="3"/>
  <c r="M246" i="3"/>
  <c r="Z245" i="3"/>
  <c r="AA245" i="3" s="1"/>
  <c r="T245" i="3"/>
  <c r="U245" i="3" s="1"/>
  <c r="F246" i="3" l="1"/>
  <c r="G246" i="3"/>
  <c r="V246" i="3" s="1"/>
  <c r="E247" i="3"/>
  <c r="D248" i="3"/>
  <c r="H250" i="3"/>
  <c r="I249" i="3"/>
  <c r="K249" i="3" s="1"/>
  <c r="J248" i="3"/>
  <c r="S294" i="3"/>
  <c r="Q295" i="3"/>
  <c r="M247" i="3"/>
  <c r="Z246" i="3"/>
  <c r="AA246" i="3" s="1"/>
  <c r="T246" i="3"/>
  <c r="U246" i="3" s="1"/>
  <c r="F247" i="3" l="1"/>
  <c r="G247" i="3"/>
  <c r="V247" i="3" s="1"/>
  <c r="E248" i="3"/>
  <c r="D249" i="3"/>
  <c r="J249" i="3"/>
  <c r="H251" i="3"/>
  <c r="I250" i="3"/>
  <c r="K250" i="3" s="1"/>
  <c r="S295" i="3"/>
  <c r="Q296" i="3"/>
  <c r="M248" i="3"/>
  <c r="Z247" i="3"/>
  <c r="AA247" i="3" s="1"/>
  <c r="T247" i="3"/>
  <c r="U247" i="3" s="1"/>
  <c r="F248" i="3" l="1"/>
  <c r="G248" i="3"/>
  <c r="V248" i="3" s="1"/>
  <c r="E249" i="3"/>
  <c r="D250" i="3"/>
  <c r="J250" i="3"/>
  <c r="H252" i="3"/>
  <c r="I251" i="3"/>
  <c r="K251" i="3" s="1"/>
  <c r="S296" i="3"/>
  <c r="Q297" i="3"/>
  <c r="M249" i="3"/>
  <c r="Z248" i="3"/>
  <c r="AA248" i="3" s="1"/>
  <c r="T248" i="3"/>
  <c r="U248" i="3" s="1"/>
  <c r="F249" i="3" l="1"/>
  <c r="G249" i="3"/>
  <c r="V249" i="3" s="1"/>
  <c r="E250" i="3"/>
  <c r="D251" i="3"/>
  <c r="J251" i="3"/>
  <c r="H253" i="3"/>
  <c r="I252" i="3"/>
  <c r="K252" i="3" s="1"/>
  <c r="S297" i="3"/>
  <c r="Q298" i="3"/>
  <c r="M250" i="3"/>
  <c r="Z249" i="3"/>
  <c r="AA249" i="3" s="1"/>
  <c r="T249" i="3"/>
  <c r="U249" i="3" s="1"/>
  <c r="F250" i="3" l="1"/>
  <c r="G250" i="3"/>
  <c r="V250" i="3" s="1"/>
  <c r="E251" i="3"/>
  <c r="D252" i="3"/>
  <c r="J252" i="3"/>
  <c r="H254" i="3"/>
  <c r="I253" i="3"/>
  <c r="K253" i="3" s="1"/>
  <c r="S298" i="3"/>
  <c r="Q299" i="3"/>
  <c r="M251" i="3"/>
  <c r="Z250" i="3"/>
  <c r="AA250" i="3" s="1"/>
  <c r="T250" i="3"/>
  <c r="U250" i="3" s="1"/>
  <c r="F251" i="3" l="1"/>
  <c r="G251" i="3"/>
  <c r="V251" i="3" s="1"/>
  <c r="E252" i="3"/>
  <c r="D253" i="3"/>
  <c r="J253" i="3"/>
  <c r="H255" i="3"/>
  <c r="I254" i="3"/>
  <c r="K254" i="3" s="1"/>
  <c r="S299" i="3"/>
  <c r="Q300" i="3"/>
  <c r="M252" i="3"/>
  <c r="Z251" i="3"/>
  <c r="AA251" i="3" s="1"/>
  <c r="T251" i="3"/>
  <c r="U251" i="3" s="1"/>
  <c r="F252" i="3" l="1"/>
  <c r="G252" i="3"/>
  <c r="V252" i="3" s="1"/>
  <c r="E253" i="3"/>
  <c r="D254" i="3"/>
  <c r="J254" i="3"/>
  <c r="H256" i="3"/>
  <c r="I255" i="3"/>
  <c r="K255" i="3" s="1"/>
  <c r="S300" i="3"/>
  <c r="Q301" i="3"/>
  <c r="M253" i="3"/>
  <c r="Z252" i="3"/>
  <c r="AA252" i="3" s="1"/>
  <c r="T252" i="3"/>
  <c r="U252" i="3" s="1"/>
  <c r="F253" i="3" l="1"/>
  <c r="G253" i="3"/>
  <c r="V253" i="3" s="1"/>
  <c r="E254" i="3"/>
  <c r="D255" i="3"/>
  <c r="J255" i="3"/>
  <c r="H257" i="3"/>
  <c r="I256" i="3"/>
  <c r="K256" i="3" s="1"/>
  <c r="S301" i="3"/>
  <c r="Q302" i="3"/>
  <c r="M254" i="3"/>
  <c r="Z253" i="3"/>
  <c r="AA253" i="3" s="1"/>
  <c r="T253" i="3"/>
  <c r="U253" i="3" s="1"/>
  <c r="F254" i="3" l="1"/>
  <c r="G254" i="3"/>
  <c r="V254" i="3" s="1"/>
  <c r="E255" i="3"/>
  <c r="D256" i="3"/>
  <c r="J256" i="3"/>
  <c r="H258" i="3"/>
  <c r="I257" i="3"/>
  <c r="K257" i="3" s="1"/>
  <c r="S302" i="3"/>
  <c r="Q303" i="3"/>
  <c r="M255" i="3"/>
  <c r="Z254" i="3"/>
  <c r="AA254" i="3" s="1"/>
  <c r="T254" i="3"/>
  <c r="U254" i="3" s="1"/>
  <c r="F255" i="3" l="1"/>
  <c r="G255" i="3"/>
  <c r="V255" i="3" s="1"/>
  <c r="E256" i="3"/>
  <c r="D257" i="3"/>
  <c r="J257" i="3"/>
  <c r="H259" i="3"/>
  <c r="I258" i="3"/>
  <c r="K258" i="3" s="1"/>
  <c r="S303" i="3"/>
  <c r="Q304" i="3"/>
  <c r="M256" i="3"/>
  <c r="Z255" i="3"/>
  <c r="AA255" i="3" s="1"/>
  <c r="T255" i="3"/>
  <c r="U255" i="3" s="1"/>
  <c r="F256" i="3" l="1"/>
  <c r="G256" i="3"/>
  <c r="V256" i="3" s="1"/>
  <c r="E257" i="3"/>
  <c r="D258" i="3"/>
  <c r="H260" i="3"/>
  <c r="I259" i="3"/>
  <c r="K259" i="3" s="1"/>
  <c r="J258" i="3"/>
  <c r="S304" i="3"/>
  <c r="Q305" i="3"/>
  <c r="M257" i="3"/>
  <c r="Z256" i="3"/>
  <c r="AA256" i="3" s="1"/>
  <c r="T256" i="3"/>
  <c r="U256" i="3" s="1"/>
  <c r="F257" i="3" l="1"/>
  <c r="G257" i="3"/>
  <c r="V257" i="3" s="1"/>
  <c r="E258" i="3"/>
  <c r="D259" i="3"/>
  <c r="J259" i="3"/>
  <c r="H261" i="3"/>
  <c r="I260" i="3"/>
  <c r="K260" i="3" s="1"/>
  <c r="S305" i="3"/>
  <c r="Q306" i="3"/>
  <c r="M258" i="3"/>
  <c r="T257" i="3"/>
  <c r="U257" i="3" s="1"/>
  <c r="Z257" i="3"/>
  <c r="AA257" i="3" s="1"/>
  <c r="F258" i="3" l="1"/>
  <c r="G258" i="3"/>
  <c r="V258" i="3" s="1"/>
  <c r="E259" i="3"/>
  <c r="D260" i="3"/>
  <c r="H262" i="3"/>
  <c r="I261" i="3"/>
  <c r="K261" i="3" s="1"/>
  <c r="J260" i="3"/>
  <c r="S306" i="3"/>
  <c r="Q307" i="3"/>
  <c r="M259" i="3"/>
  <c r="Z258" i="3"/>
  <c r="AA258" i="3" s="1"/>
  <c r="T258" i="3"/>
  <c r="U258" i="3" s="1"/>
  <c r="F259" i="3" l="1"/>
  <c r="G259" i="3"/>
  <c r="V259" i="3" s="1"/>
  <c r="E260" i="3"/>
  <c r="D261" i="3"/>
  <c r="J261" i="3"/>
  <c r="H263" i="3"/>
  <c r="I262" i="3"/>
  <c r="K262" i="3" s="1"/>
  <c r="S307" i="3"/>
  <c r="Q308" i="3"/>
  <c r="M260" i="3"/>
  <c r="Z259" i="3"/>
  <c r="AA259" i="3" s="1"/>
  <c r="T259" i="3"/>
  <c r="U259" i="3" s="1"/>
  <c r="F260" i="3" l="1"/>
  <c r="G260" i="3"/>
  <c r="V260" i="3" s="1"/>
  <c r="E261" i="3"/>
  <c r="D262" i="3"/>
  <c r="H264" i="3"/>
  <c r="I263" i="3"/>
  <c r="K263" i="3" s="1"/>
  <c r="J262" i="3"/>
  <c r="S308" i="3"/>
  <c r="Q309" i="3"/>
  <c r="M261" i="3"/>
  <c r="Z260" i="3"/>
  <c r="AA260" i="3" s="1"/>
  <c r="T260" i="3"/>
  <c r="U260" i="3" s="1"/>
  <c r="F261" i="3" l="1"/>
  <c r="G261" i="3"/>
  <c r="V261" i="3" s="1"/>
  <c r="E262" i="3"/>
  <c r="D263" i="3"/>
  <c r="J263" i="3"/>
  <c r="H265" i="3"/>
  <c r="I264" i="3"/>
  <c r="K264" i="3" s="1"/>
  <c r="S309" i="3"/>
  <c r="Q310" i="3"/>
  <c r="M262" i="3"/>
  <c r="Z261" i="3"/>
  <c r="AA261" i="3" s="1"/>
  <c r="T261" i="3"/>
  <c r="U261" i="3" s="1"/>
  <c r="F262" i="3" l="1"/>
  <c r="G262" i="3"/>
  <c r="V262" i="3" s="1"/>
  <c r="E263" i="3"/>
  <c r="D264" i="3"/>
  <c r="J264" i="3"/>
  <c r="H266" i="3"/>
  <c r="I265" i="3"/>
  <c r="K265" i="3" s="1"/>
  <c r="S310" i="3"/>
  <c r="Q311" i="3"/>
  <c r="M263" i="3"/>
  <c r="Z262" i="3"/>
  <c r="AA262" i="3" s="1"/>
  <c r="T262" i="3"/>
  <c r="U262" i="3" s="1"/>
  <c r="F263" i="3" l="1"/>
  <c r="G263" i="3"/>
  <c r="E264" i="3"/>
  <c r="D265" i="3"/>
  <c r="H267" i="3"/>
  <c r="I266" i="3"/>
  <c r="K266" i="3" s="1"/>
  <c r="J265" i="3"/>
  <c r="S311" i="3"/>
  <c r="Q312" i="3"/>
  <c r="M264" i="3"/>
  <c r="Z263" i="3"/>
  <c r="AA263" i="3" s="1"/>
  <c r="T263" i="3"/>
  <c r="F264" i="3" l="1"/>
  <c r="G264" i="3"/>
  <c r="V264" i="3" s="1"/>
  <c r="E265" i="3"/>
  <c r="D266" i="3"/>
  <c r="H268" i="3"/>
  <c r="I267" i="3"/>
  <c r="K267" i="3" s="1"/>
  <c r="J266" i="3"/>
  <c r="U263" i="3"/>
  <c r="S312" i="3"/>
  <c r="Q313" i="3"/>
  <c r="M265" i="3"/>
  <c r="Z264" i="3"/>
  <c r="AA264" i="3" s="1"/>
  <c r="T264" i="3"/>
  <c r="F265" i="3" l="1"/>
  <c r="G265" i="3"/>
  <c r="V265" i="3" s="1"/>
  <c r="E266" i="3"/>
  <c r="D267" i="3"/>
  <c r="J267" i="3"/>
  <c r="U264" i="3"/>
  <c r="H269" i="3"/>
  <c r="I268" i="3"/>
  <c r="K268" i="3" s="1"/>
  <c r="S313" i="3"/>
  <c r="Q314" i="3"/>
  <c r="M266" i="3"/>
  <c r="Z265" i="3"/>
  <c r="AA265" i="3" s="1"/>
  <c r="T265" i="3"/>
  <c r="F266" i="3" l="1"/>
  <c r="G266" i="3"/>
  <c r="V266" i="3" s="1"/>
  <c r="E267" i="3"/>
  <c r="D268" i="3"/>
  <c r="H270" i="3"/>
  <c r="I269" i="3"/>
  <c r="K269" i="3" s="1"/>
  <c r="U265" i="3"/>
  <c r="J268" i="3"/>
  <c r="S314" i="3"/>
  <c r="Q315" i="3"/>
  <c r="M267" i="3"/>
  <c r="Z266" i="3"/>
  <c r="AA266" i="3" s="1"/>
  <c r="T266" i="3"/>
  <c r="F267" i="3" l="1"/>
  <c r="G267" i="3"/>
  <c r="V267" i="3" s="1"/>
  <c r="E268" i="3"/>
  <c r="D269" i="3"/>
  <c r="J269" i="3"/>
  <c r="U266" i="3"/>
  <c r="H271" i="3"/>
  <c r="I270" i="3"/>
  <c r="K270" i="3" s="1"/>
  <c r="S315" i="3"/>
  <c r="Q316" i="3"/>
  <c r="M268" i="3"/>
  <c r="Z267" i="3"/>
  <c r="AA267" i="3" s="1"/>
  <c r="T267" i="3"/>
  <c r="F268" i="3" l="1"/>
  <c r="G268" i="3"/>
  <c r="V268" i="3" s="1"/>
  <c r="E269" i="3"/>
  <c r="D270" i="3"/>
  <c r="H272" i="3"/>
  <c r="I271" i="3"/>
  <c r="K271" i="3" s="1"/>
  <c r="U267" i="3"/>
  <c r="J270" i="3"/>
  <c r="S316" i="3"/>
  <c r="Q317" i="3"/>
  <c r="M269" i="3"/>
  <c r="Z268" i="3"/>
  <c r="AA268" i="3" s="1"/>
  <c r="T268" i="3"/>
  <c r="F269" i="3" l="1"/>
  <c r="G269" i="3"/>
  <c r="V269" i="3" s="1"/>
  <c r="E270" i="3"/>
  <c r="D271" i="3"/>
  <c r="U268" i="3"/>
  <c r="J271" i="3"/>
  <c r="H273" i="3"/>
  <c r="I272" i="3"/>
  <c r="K272" i="3" s="1"/>
  <c r="S317" i="3"/>
  <c r="Q318" i="3"/>
  <c r="M270" i="3"/>
  <c r="Z269" i="3"/>
  <c r="AA269" i="3" s="1"/>
  <c r="T269" i="3"/>
  <c r="F270" i="3" l="1"/>
  <c r="G270" i="3"/>
  <c r="V270" i="3" s="1"/>
  <c r="E271" i="3"/>
  <c r="D272" i="3"/>
  <c r="J272" i="3"/>
  <c r="H274" i="3"/>
  <c r="I273" i="3"/>
  <c r="K273" i="3" s="1"/>
  <c r="U269" i="3"/>
  <c r="S318" i="3"/>
  <c r="Q319" i="3"/>
  <c r="M271" i="3"/>
  <c r="Z270" i="3"/>
  <c r="AA270" i="3" s="1"/>
  <c r="T270" i="3"/>
  <c r="F271" i="3" l="1"/>
  <c r="G271" i="3"/>
  <c r="V271" i="3" s="1"/>
  <c r="E272" i="3"/>
  <c r="D273" i="3"/>
  <c r="U270" i="3"/>
  <c r="J273" i="3"/>
  <c r="H275" i="3"/>
  <c r="I274" i="3"/>
  <c r="K274" i="3" s="1"/>
  <c r="S319" i="3"/>
  <c r="Q320" i="3"/>
  <c r="M272" i="3"/>
  <c r="Z271" i="3"/>
  <c r="AA271" i="3" s="1"/>
  <c r="T271" i="3"/>
  <c r="F272" i="3" l="1"/>
  <c r="G272" i="3"/>
  <c r="V272" i="3" s="1"/>
  <c r="E273" i="3"/>
  <c r="D274" i="3"/>
  <c r="U271" i="3"/>
  <c r="H276" i="3"/>
  <c r="I275" i="3"/>
  <c r="K275" i="3" s="1"/>
  <c r="J274" i="3"/>
  <c r="S320" i="3"/>
  <c r="Q321" i="3"/>
  <c r="M273" i="3"/>
  <c r="Z272" i="3"/>
  <c r="AA272" i="3" s="1"/>
  <c r="T272" i="3"/>
  <c r="F273" i="3" l="1"/>
  <c r="G273" i="3"/>
  <c r="V273" i="3" s="1"/>
  <c r="E274" i="3"/>
  <c r="D275" i="3"/>
  <c r="U272" i="3"/>
  <c r="J275" i="3"/>
  <c r="H277" i="3"/>
  <c r="I276" i="3"/>
  <c r="K276" i="3" s="1"/>
  <c r="S321" i="3"/>
  <c r="Q322" i="3"/>
  <c r="M274" i="3"/>
  <c r="T273" i="3"/>
  <c r="Z273" i="3"/>
  <c r="AA273" i="3" s="1"/>
  <c r="F274" i="3" l="1"/>
  <c r="G274" i="3"/>
  <c r="V274" i="3" s="1"/>
  <c r="E275" i="3"/>
  <c r="D276" i="3"/>
  <c r="U273" i="3"/>
  <c r="H278" i="3"/>
  <c r="I277" i="3"/>
  <c r="K277" i="3" s="1"/>
  <c r="J276" i="3"/>
  <c r="S322" i="3"/>
  <c r="Q323" i="3"/>
  <c r="M275" i="3"/>
  <c r="Z274" i="3"/>
  <c r="AA274" i="3" s="1"/>
  <c r="T274" i="3"/>
  <c r="F275" i="3" l="1"/>
  <c r="G275" i="3"/>
  <c r="V275" i="3" s="1"/>
  <c r="E276" i="3"/>
  <c r="U274" i="3"/>
  <c r="D277" i="3"/>
  <c r="J277" i="3"/>
  <c r="H279" i="3"/>
  <c r="I278" i="3"/>
  <c r="K278" i="3" s="1"/>
  <c r="S323" i="3"/>
  <c r="Q324" i="3"/>
  <c r="M276" i="3"/>
  <c r="Z275" i="3"/>
  <c r="AA275" i="3" s="1"/>
  <c r="T275" i="3"/>
  <c r="F276" i="3" l="1"/>
  <c r="G276" i="3"/>
  <c r="V276" i="3" s="1"/>
  <c r="E277" i="3"/>
  <c r="U275" i="3"/>
  <c r="D278" i="3"/>
  <c r="J278" i="3"/>
  <c r="H280" i="3"/>
  <c r="I279" i="3"/>
  <c r="K279" i="3" s="1"/>
  <c r="S324" i="3"/>
  <c r="Q325" i="3"/>
  <c r="M277" i="3"/>
  <c r="Z276" i="3"/>
  <c r="AA276" i="3" s="1"/>
  <c r="T276" i="3"/>
  <c r="F277" i="3" l="1"/>
  <c r="G277" i="3"/>
  <c r="V277" i="3" s="1"/>
  <c r="E278" i="3"/>
  <c r="U276" i="3"/>
  <c r="D279" i="3"/>
  <c r="H281" i="3"/>
  <c r="I280" i="3"/>
  <c r="K280" i="3" s="1"/>
  <c r="J279" i="3"/>
  <c r="S325" i="3"/>
  <c r="Q326" i="3"/>
  <c r="M278" i="3"/>
  <c r="Z277" i="3"/>
  <c r="AA277" i="3" s="1"/>
  <c r="T277" i="3"/>
  <c r="F278" i="3" l="1"/>
  <c r="G278" i="3"/>
  <c r="V278" i="3" s="1"/>
  <c r="E279" i="3"/>
  <c r="U277" i="3"/>
  <c r="D280" i="3"/>
  <c r="H282" i="3"/>
  <c r="I281" i="3"/>
  <c r="K281" i="3" s="1"/>
  <c r="J280" i="3"/>
  <c r="S326" i="3"/>
  <c r="Q327" i="3"/>
  <c r="M279" i="3"/>
  <c r="Z278" i="3"/>
  <c r="AA278" i="3" s="1"/>
  <c r="T278" i="3"/>
  <c r="F279" i="3" l="1"/>
  <c r="G279" i="3"/>
  <c r="V279" i="3" s="1"/>
  <c r="E280" i="3"/>
  <c r="U278" i="3"/>
  <c r="J281" i="3"/>
  <c r="D281" i="3"/>
  <c r="H283" i="3"/>
  <c r="I282" i="3"/>
  <c r="K282" i="3" s="1"/>
  <c r="S327" i="3"/>
  <c r="Q328" i="3"/>
  <c r="M280" i="3"/>
  <c r="Z279" i="3"/>
  <c r="AA279" i="3" s="1"/>
  <c r="T279" i="3"/>
  <c r="F280" i="3" l="1"/>
  <c r="G280" i="3"/>
  <c r="V280" i="3" s="1"/>
  <c r="U279" i="3"/>
  <c r="E281" i="3"/>
  <c r="D282" i="3"/>
  <c r="J282" i="3"/>
  <c r="H284" i="3"/>
  <c r="I283" i="3"/>
  <c r="K283" i="3" s="1"/>
  <c r="S328" i="3"/>
  <c r="Q329" i="3"/>
  <c r="M281" i="3"/>
  <c r="Z280" i="3"/>
  <c r="AA280" i="3" s="1"/>
  <c r="T280" i="3"/>
  <c r="F281" i="3" l="1"/>
  <c r="G281" i="3"/>
  <c r="V281" i="3" s="1"/>
  <c r="U280" i="3"/>
  <c r="E282" i="3"/>
  <c r="D283" i="3"/>
  <c r="J283" i="3"/>
  <c r="H285" i="3"/>
  <c r="I284" i="3"/>
  <c r="K284" i="3" s="1"/>
  <c r="S329" i="3"/>
  <c r="Q330" i="3"/>
  <c r="M282" i="3"/>
  <c r="Z281" i="3"/>
  <c r="AA281" i="3" s="1"/>
  <c r="T281" i="3"/>
  <c r="F282" i="3" l="1"/>
  <c r="G282" i="3"/>
  <c r="V282" i="3" s="1"/>
  <c r="U281" i="3"/>
  <c r="E283" i="3"/>
  <c r="D284" i="3"/>
  <c r="J284" i="3"/>
  <c r="H286" i="3"/>
  <c r="I285" i="3"/>
  <c r="K285" i="3" s="1"/>
  <c r="S330" i="3"/>
  <c r="Q331" i="3"/>
  <c r="M283" i="3"/>
  <c r="Z282" i="3"/>
  <c r="AA282" i="3" s="1"/>
  <c r="T282" i="3"/>
  <c r="F283" i="3" l="1"/>
  <c r="G283" i="3"/>
  <c r="V283" i="3" s="1"/>
  <c r="U282" i="3"/>
  <c r="E284" i="3"/>
  <c r="D285" i="3"/>
  <c r="J285" i="3"/>
  <c r="H287" i="3"/>
  <c r="I286" i="3"/>
  <c r="K286" i="3" s="1"/>
  <c r="S331" i="3"/>
  <c r="Q332" i="3"/>
  <c r="M284" i="3"/>
  <c r="Z283" i="3"/>
  <c r="AA283" i="3" s="1"/>
  <c r="T283" i="3"/>
  <c r="F284" i="3" l="1"/>
  <c r="G284" i="3"/>
  <c r="V284" i="3" s="1"/>
  <c r="U283" i="3"/>
  <c r="E285" i="3"/>
  <c r="D286" i="3"/>
  <c r="J286" i="3"/>
  <c r="H288" i="3"/>
  <c r="I287" i="3"/>
  <c r="K287" i="3" s="1"/>
  <c r="S332" i="3"/>
  <c r="Q333" i="3"/>
  <c r="M285" i="3"/>
  <c r="Z284" i="3"/>
  <c r="AA284" i="3" s="1"/>
  <c r="T284" i="3"/>
  <c r="F285" i="3" l="1"/>
  <c r="G285" i="3"/>
  <c r="V285" i="3" s="1"/>
  <c r="U284" i="3"/>
  <c r="E286" i="3"/>
  <c r="D287" i="3"/>
  <c r="J287" i="3"/>
  <c r="H289" i="3"/>
  <c r="I288" i="3"/>
  <c r="K288" i="3" s="1"/>
  <c r="S333" i="3"/>
  <c r="Q334" i="3"/>
  <c r="M286" i="3"/>
  <c r="Z285" i="3"/>
  <c r="AA285" i="3" s="1"/>
  <c r="T285" i="3"/>
  <c r="F286" i="3" l="1"/>
  <c r="G286" i="3"/>
  <c r="V286" i="3" s="1"/>
  <c r="U285" i="3"/>
  <c r="E287" i="3"/>
  <c r="D288" i="3"/>
  <c r="H290" i="3"/>
  <c r="I289" i="3"/>
  <c r="K289" i="3" s="1"/>
  <c r="J288" i="3"/>
  <c r="S334" i="3"/>
  <c r="Q335" i="3"/>
  <c r="M287" i="3"/>
  <c r="Z286" i="3"/>
  <c r="AA286" i="3" s="1"/>
  <c r="T286" i="3"/>
  <c r="F287" i="3" l="1"/>
  <c r="G287" i="3"/>
  <c r="V287" i="3" s="1"/>
  <c r="U286" i="3"/>
  <c r="E288" i="3"/>
  <c r="D289" i="3"/>
  <c r="J289" i="3"/>
  <c r="H291" i="3"/>
  <c r="I290" i="3"/>
  <c r="K290" i="3" s="1"/>
  <c r="S335" i="3"/>
  <c r="Q336" i="3"/>
  <c r="M288" i="3"/>
  <c r="Z287" i="3"/>
  <c r="AA287" i="3" s="1"/>
  <c r="T287" i="3"/>
  <c r="F288" i="3" l="1"/>
  <c r="G288" i="3"/>
  <c r="V288" i="3" s="1"/>
  <c r="U287" i="3"/>
  <c r="E289" i="3"/>
  <c r="D290" i="3"/>
  <c r="H292" i="3"/>
  <c r="I291" i="3"/>
  <c r="K291" i="3" s="1"/>
  <c r="J290" i="3"/>
  <c r="S336" i="3"/>
  <c r="Q337" i="3"/>
  <c r="M289" i="3"/>
  <c r="Z288" i="3"/>
  <c r="AA288" i="3" s="1"/>
  <c r="T288" i="3"/>
  <c r="F289" i="3" l="1"/>
  <c r="G289" i="3"/>
  <c r="V289" i="3" s="1"/>
  <c r="U288" i="3"/>
  <c r="E290" i="3"/>
  <c r="D291" i="3"/>
  <c r="H293" i="3"/>
  <c r="I292" i="3"/>
  <c r="K292" i="3" s="1"/>
  <c r="J291" i="3"/>
  <c r="S337" i="3"/>
  <c r="Q338" i="3"/>
  <c r="M290" i="3"/>
  <c r="Z289" i="3"/>
  <c r="AA289" i="3" s="1"/>
  <c r="T289" i="3"/>
  <c r="U289" i="3" l="1"/>
  <c r="F290" i="3"/>
  <c r="G290" i="3"/>
  <c r="V290" i="3" s="1"/>
  <c r="E291" i="3"/>
  <c r="D292" i="3"/>
  <c r="J292" i="3"/>
  <c r="H294" i="3"/>
  <c r="I293" i="3"/>
  <c r="K293" i="3" s="1"/>
  <c r="S338" i="3"/>
  <c r="Q339" i="3"/>
  <c r="M291" i="3"/>
  <c r="Z290" i="3"/>
  <c r="AA290" i="3" s="1"/>
  <c r="T290" i="3"/>
  <c r="U290" i="3" l="1"/>
  <c r="F291" i="3"/>
  <c r="G291" i="3"/>
  <c r="V291" i="3" s="1"/>
  <c r="E292" i="3"/>
  <c r="D293" i="3"/>
  <c r="H295" i="3"/>
  <c r="I294" i="3"/>
  <c r="K294" i="3" s="1"/>
  <c r="J293" i="3"/>
  <c r="S339" i="3"/>
  <c r="Q340" i="3"/>
  <c r="M292" i="3"/>
  <c r="Z291" i="3"/>
  <c r="AA291" i="3" s="1"/>
  <c r="T291" i="3"/>
  <c r="U291" i="3" l="1"/>
  <c r="F292" i="3"/>
  <c r="G292" i="3"/>
  <c r="V292" i="3" s="1"/>
  <c r="E293" i="3"/>
  <c r="D294" i="3"/>
  <c r="H296" i="3"/>
  <c r="I295" i="3"/>
  <c r="K295" i="3" s="1"/>
  <c r="J294" i="3"/>
  <c r="S340" i="3"/>
  <c r="Q341" i="3"/>
  <c r="M293" i="3"/>
  <c r="Z292" i="3"/>
  <c r="AA292" i="3" s="1"/>
  <c r="T292" i="3"/>
  <c r="U292" i="3" s="1"/>
  <c r="F293" i="3" l="1"/>
  <c r="E294" i="3"/>
  <c r="D295" i="3"/>
  <c r="J295" i="3"/>
  <c r="H297" i="3"/>
  <c r="I296" i="3"/>
  <c r="K296" i="3" s="1"/>
  <c r="S341" i="3"/>
  <c r="Q342" i="3"/>
  <c r="M294" i="3"/>
  <c r="Z293" i="3"/>
  <c r="AA293" i="3" s="1"/>
  <c r="T293" i="3"/>
  <c r="F294" i="3" l="1"/>
  <c r="G294" i="3"/>
  <c r="V294" i="3" s="1"/>
  <c r="E295" i="3"/>
  <c r="D296" i="3"/>
  <c r="H298" i="3"/>
  <c r="I297" i="3"/>
  <c r="K297" i="3" s="1"/>
  <c r="J296" i="3"/>
  <c r="U293" i="3"/>
  <c r="S342" i="3"/>
  <c r="Q343" i="3"/>
  <c r="M295" i="3"/>
  <c r="Z294" i="3"/>
  <c r="AA294" i="3" s="1"/>
  <c r="T294" i="3"/>
  <c r="F295" i="3" l="1"/>
  <c r="G295" i="3"/>
  <c r="V295" i="3" s="1"/>
  <c r="E296" i="3"/>
  <c r="D297" i="3"/>
  <c r="U294" i="3"/>
  <c r="H299" i="3"/>
  <c r="I298" i="3"/>
  <c r="K298" i="3" s="1"/>
  <c r="J297" i="3"/>
  <c r="S343" i="3"/>
  <c r="Q344" i="3"/>
  <c r="M296" i="3"/>
  <c r="Z295" i="3"/>
  <c r="AA295" i="3" s="1"/>
  <c r="T295" i="3"/>
  <c r="F296" i="3" l="1"/>
  <c r="G296" i="3"/>
  <c r="V296" i="3" s="1"/>
  <c r="E297" i="3"/>
  <c r="D298" i="3"/>
  <c r="J298" i="3"/>
  <c r="H300" i="3"/>
  <c r="I299" i="3"/>
  <c r="K299" i="3" s="1"/>
  <c r="U295" i="3"/>
  <c r="S344" i="3"/>
  <c r="Q345" i="3"/>
  <c r="M297" i="3"/>
  <c r="Z296" i="3"/>
  <c r="AA296" i="3" s="1"/>
  <c r="T296" i="3"/>
  <c r="F297" i="3" l="1"/>
  <c r="G297" i="3"/>
  <c r="V297" i="3" s="1"/>
  <c r="E298" i="3"/>
  <c r="D299" i="3"/>
  <c r="U296" i="3"/>
  <c r="J299" i="3"/>
  <c r="H301" i="3"/>
  <c r="I300" i="3"/>
  <c r="K300" i="3" s="1"/>
  <c r="S345" i="3"/>
  <c r="Q346" i="3"/>
  <c r="M298" i="3"/>
  <c r="Z297" i="3"/>
  <c r="AA297" i="3" s="1"/>
  <c r="T297" i="3"/>
  <c r="F298" i="3" l="1"/>
  <c r="G298" i="3"/>
  <c r="V298" i="3" s="1"/>
  <c r="E299" i="3"/>
  <c r="D300" i="3"/>
  <c r="H302" i="3"/>
  <c r="I301" i="3"/>
  <c r="K301" i="3" s="1"/>
  <c r="J300" i="3"/>
  <c r="U297" i="3"/>
  <c r="S346" i="3"/>
  <c r="Q347" i="3"/>
  <c r="M299" i="3"/>
  <c r="Z298" i="3"/>
  <c r="AA298" i="3" s="1"/>
  <c r="T298" i="3"/>
  <c r="F299" i="3" l="1"/>
  <c r="G299" i="3"/>
  <c r="V299" i="3" s="1"/>
  <c r="E300" i="3"/>
  <c r="D301" i="3"/>
  <c r="J301" i="3"/>
  <c r="U298" i="3"/>
  <c r="H303" i="3"/>
  <c r="I302" i="3"/>
  <c r="K302" i="3" s="1"/>
  <c r="S347" i="3"/>
  <c r="Q348" i="3"/>
  <c r="M300" i="3"/>
  <c r="Z299" i="3"/>
  <c r="AA299" i="3" s="1"/>
  <c r="T299" i="3"/>
  <c r="F300" i="3" l="1"/>
  <c r="G300" i="3"/>
  <c r="V300" i="3" s="1"/>
  <c r="E301" i="3"/>
  <c r="D302" i="3"/>
  <c r="U299" i="3"/>
  <c r="J302" i="3"/>
  <c r="H304" i="3"/>
  <c r="I303" i="3"/>
  <c r="K303" i="3" s="1"/>
  <c r="S348" i="3"/>
  <c r="Q349" i="3"/>
  <c r="M301" i="3"/>
  <c r="Z300" i="3"/>
  <c r="AA300" i="3" s="1"/>
  <c r="T300" i="3"/>
  <c r="F301" i="3" l="1"/>
  <c r="G301" i="3"/>
  <c r="V301" i="3" s="1"/>
  <c r="E302" i="3"/>
  <c r="D303" i="3"/>
  <c r="U300" i="3"/>
  <c r="J303" i="3"/>
  <c r="H305" i="3"/>
  <c r="I304" i="3"/>
  <c r="K304" i="3" s="1"/>
  <c r="S349" i="3"/>
  <c r="Q350" i="3"/>
  <c r="M302" i="3"/>
  <c r="Z301" i="3"/>
  <c r="AA301" i="3" s="1"/>
  <c r="T301" i="3"/>
  <c r="F302" i="3" l="1"/>
  <c r="G302" i="3"/>
  <c r="V302" i="3" s="1"/>
  <c r="E303" i="3"/>
  <c r="U301" i="3"/>
  <c r="D304" i="3"/>
  <c r="J304" i="3"/>
  <c r="H306" i="3"/>
  <c r="I305" i="3"/>
  <c r="K305" i="3" s="1"/>
  <c r="S350" i="3"/>
  <c r="Q351" i="3"/>
  <c r="M303" i="3"/>
  <c r="Z302" i="3"/>
  <c r="AA302" i="3" s="1"/>
  <c r="T302" i="3"/>
  <c r="F303" i="3" l="1"/>
  <c r="G303" i="3"/>
  <c r="V303" i="3" s="1"/>
  <c r="E304" i="3"/>
  <c r="U302" i="3"/>
  <c r="D305" i="3"/>
  <c r="J305" i="3"/>
  <c r="H307" i="3"/>
  <c r="I306" i="3"/>
  <c r="K306" i="3" s="1"/>
  <c r="S351" i="3"/>
  <c r="Q352" i="3"/>
  <c r="M304" i="3"/>
  <c r="Z303" i="3"/>
  <c r="AA303" i="3" s="1"/>
  <c r="T303" i="3"/>
  <c r="F304" i="3" l="1"/>
  <c r="G304" i="3"/>
  <c r="V304" i="3" s="1"/>
  <c r="U303" i="3"/>
  <c r="E305" i="3"/>
  <c r="D306" i="3"/>
  <c r="J306" i="3"/>
  <c r="H308" i="3"/>
  <c r="I307" i="3"/>
  <c r="K307" i="3" s="1"/>
  <c r="S352" i="3"/>
  <c r="Q353" i="3"/>
  <c r="M305" i="3"/>
  <c r="Z304" i="3"/>
  <c r="AA304" i="3" s="1"/>
  <c r="T304" i="3"/>
  <c r="F305" i="3" l="1"/>
  <c r="G305" i="3"/>
  <c r="V305" i="3" s="1"/>
  <c r="U304" i="3"/>
  <c r="E306" i="3"/>
  <c r="D307" i="3"/>
  <c r="J307" i="3"/>
  <c r="H309" i="3"/>
  <c r="I308" i="3"/>
  <c r="K308" i="3" s="1"/>
  <c r="S353" i="3"/>
  <c r="Q354" i="3"/>
  <c r="M306" i="3"/>
  <c r="Z305" i="3"/>
  <c r="AA305" i="3" s="1"/>
  <c r="T305" i="3"/>
  <c r="F306" i="3" l="1"/>
  <c r="G306" i="3"/>
  <c r="V306" i="3" s="1"/>
  <c r="U305" i="3"/>
  <c r="E307" i="3"/>
  <c r="D308" i="3"/>
  <c r="J308" i="3"/>
  <c r="H310" i="3"/>
  <c r="I309" i="3"/>
  <c r="K309" i="3" s="1"/>
  <c r="S354" i="3"/>
  <c r="Q355" i="3"/>
  <c r="M307" i="3"/>
  <c r="Z306" i="3"/>
  <c r="AA306" i="3" s="1"/>
  <c r="T306" i="3"/>
  <c r="F307" i="3" l="1"/>
  <c r="G307" i="3"/>
  <c r="V307" i="3" s="1"/>
  <c r="U306" i="3"/>
  <c r="E308" i="3"/>
  <c r="D309" i="3"/>
  <c r="J309" i="3"/>
  <c r="H311" i="3"/>
  <c r="I310" i="3"/>
  <c r="K310" i="3" s="1"/>
  <c r="S355" i="3"/>
  <c r="Q356" i="3"/>
  <c r="M308" i="3"/>
  <c r="Z307" i="3"/>
  <c r="AA307" i="3" s="1"/>
  <c r="T307" i="3"/>
  <c r="F308" i="3" l="1"/>
  <c r="G308" i="3"/>
  <c r="V308" i="3" s="1"/>
  <c r="U307" i="3"/>
  <c r="E309" i="3"/>
  <c r="D310" i="3"/>
  <c r="J310" i="3"/>
  <c r="H312" i="3"/>
  <c r="I311" i="3"/>
  <c r="K311" i="3" s="1"/>
  <c r="S356" i="3"/>
  <c r="Q357" i="3"/>
  <c r="M309" i="3"/>
  <c r="Z308" i="3"/>
  <c r="AA308" i="3" s="1"/>
  <c r="T308" i="3"/>
  <c r="F309" i="3" l="1"/>
  <c r="G309" i="3"/>
  <c r="V309" i="3" s="1"/>
  <c r="U308" i="3"/>
  <c r="E310" i="3"/>
  <c r="D311" i="3"/>
  <c r="H313" i="3"/>
  <c r="I312" i="3"/>
  <c r="K312" i="3" s="1"/>
  <c r="J311" i="3"/>
  <c r="S357" i="3"/>
  <c r="Q358" i="3"/>
  <c r="M310" i="3"/>
  <c r="Z309" i="3"/>
  <c r="AA309" i="3" s="1"/>
  <c r="T309" i="3"/>
  <c r="F310" i="3" l="1"/>
  <c r="G310" i="3"/>
  <c r="V310" i="3" s="1"/>
  <c r="U309" i="3"/>
  <c r="E311" i="3"/>
  <c r="D312" i="3"/>
  <c r="H314" i="3"/>
  <c r="I313" i="3"/>
  <c r="K313" i="3" s="1"/>
  <c r="J312" i="3"/>
  <c r="S358" i="3"/>
  <c r="Q359" i="3"/>
  <c r="M311" i="3"/>
  <c r="Z310" i="3"/>
  <c r="AA310" i="3" s="1"/>
  <c r="T310" i="3"/>
  <c r="F311" i="3" l="1"/>
  <c r="G311" i="3"/>
  <c r="V311" i="3" s="1"/>
  <c r="U310" i="3"/>
  <c r="E312" i="3"/>
  <c r="D313" i="3"/>
  <c r="J313" i="3"/>
  <c r="H315" i="3"/>
  <c r="I314" i="3"/>
  <c r="K314" i="3" s="1"/>
  <c r="S359" i="3"/>
  <c r="Q360" i="3"/>
  <c r="M312" i="3"/>
  <c r="Z311" i="3"/>
  <c r="AA311" i="3" s="1"/>
  <c r="T311" i="3"/>
  <c r="F312" i="3" l="1"/>
  <c r="G312" i="3"/>
  <c r="V312" i="3" s="1"/>
  <c r="U311" i="3"/>
  <c r="E313" i="3"/>
  <c r="D314" i="3"/>
  <c r="J314" i="3"/>
  <c r="H316" i="3"/>
  <c r="I315" i="3"/>
  <c r="K315" i="3" s="1"/>
  <c r="S360" i="3"/>
  <c r="Q361" i="3"/>
  <c r="M313" i="3"/>
  <c r="Z312" i="3"/>
  <c r="AA312" i="3" s="1"/>
  <c r="T312" i="3"/>
  <c r="F313" i="3" l="1"/>
  <c r="G313" i="3"/>
  <c r="V313" i="3" s="1"/>
  <c r="U312" i="3"/>
  <c r="E314" i="3"/>
  <c r="D315" i="3"/>
  <c r="J315" i="3"/>
  <c r="H317" i="3"/>
  <c r="I316" i="3"/>
  <c r="K316" i="3" s="1"/>
  <c r="S361" i="3"/>
  <c r="Q362" i="3"/>
  <c r="M314" i="3"/>
  <c r="Z313" i="3"/>
  <c r="AA313" i="3" s="1"/>
  <c r="T313" i="3"/>
  <c r="U313" i="3" l="1"/>
  <c r="F314" i="3"/>
  <c r="G314" i="3"/>
  <c r="V314" i="3" s="1"/>
  <c r="E315" i="3"/>
  <c r="D316" i="3"/>
  <c r="J316" i="3"/>
  <c r="H318" i="3"/>
  <c r="I317" i="3"/>
  <c r="K317" i="3" s="1"/>
  <c r="S362" i="3"/>
  <c r="Q363" i="3"/>
  <c r="M315" i="3"/>
  <c r="Z314" i="3"/>
  <c r="AA314" i="3" s="1"/>
  <c r="T314" i="3"/>
  <c r="U314" i="3" s="1"/>
  <c r="F315" i="3" l="1"/>
  <c r="G315" i="3"/>
  <c r="V315" i="3" s="1"/>
  <c r="E316" i="3"/>
  <c r="D317" i="3"/>
  <c r="J317" i="3"/>
  <c r="H319" i="3"/>
  <c r="I318" i="3"/>
  <c r="K318" i="3" s="1"/>
  <c r="S363" i="3"/>
  <c r="Q364" i="3"/>
  <c r="M316" i="3"/>
  <c r="Z315" i="3"/>
  <c r="AA315" i="3" s="1"/>
  <c r="T315" i="3"/>
  <c r="U315" i="3" s="1"/>
  <c r="F316" i="3" l="1"/>
  <c r="G316" i="3"/>
  <c r="V316" i="3" s="1"/>
  <c r="E317" i="3"/>
  <c r="D318" i="3"/>
  <c r="H320" i="3"/>
  <c r="I319" i="3"/>
  <c r="K319" i="3" s="1"/>
  <c r="J318" i="3"/>
  <c r="S364" i="3"/>
  <c r="Q365" i="3"/>
  <c r="M317" i="3"/>
  <c r="Z316" i="3"/>
  <c r="AA316" i="3" s="1"/>
  <c r="T316" i="3"/>
  <c r="U316" i="3" s="1"/>
  <c r="F317" i="3" l="1"/>
  <c r="G317" i="3"/>
  <c r="V317" i="3" s="1"/>
  <c r="E318" i="3"/>
  <c r="D319" i="3"/>
  <c r="H321" i="3"/>
  <c r="I320" i="3"/>
  <c r="K320" i="3" s="1"/>
  <c r="J319" i="3"/>
  <c r="S365" i="3"/>
  <c r="Q366" i="3"/>
  <c r="M318" i="3"/>
  <c r="Z317" i="3"/>
  <c r="AA317" i="3" s="1"/>
  <c r="T317" i="3"/>
  <c r="U317" i="3" s="1"/>
  <c r="F318" i="3" l="1"/>
  <c r="G318" i="3"/>
  <c r="V318" i="3" s="1"/>
  <c r="E319" i="3"/>
  <c r="D320" i="3"/>
  <c r="J320" i="3"/>
  <c r="H322" i="3"/>
  <c r="I321" i="3"/>
  <c r="K321" i="3" s="1"/>
  <c r="S366" i="3"/>
  <c r="Q367" i="3"/>
  <c r="M319" i="3"/>
  <c r="Z318" i="3"/>
  <c r="AA318" i="3" s="1"/>
  <c r="T318" i="3"/>
  <c r="U318" i="3" s="1"/>
  <c r="F319" i="3" l="1"/>
  <c r="G319" i="3"/>
  <c r="V319" i="3" s="1"/>
  <c r="E320" i="3"/>
  <c r="D321" i="3"/>
  <c r="J321" i="3"/>
  <c r="H323" i="3"/>
  <c r="I322" i="3"/>
  <c r="K322" i="3" s="1"/>
  <c r="S367" i="3"/>
  <c r="Q368" i="3"/>
  <c r="M320" i="3"/>
  <c r="Z319" i="3"/>
  <c r="AA319" i="3" s="1"/>
  <c r="T319" i="3"/>
  <c r="U319" i="3" s="1"/>
  <c r="F320" i="3" l="1"/>
  <c r="G320" i="3"/>
  <c r="V320" i="3" s="1"/>
  <c r="E321" i="3"/>
  <c r="D322" i="3"/>
  <c r="J322" i="3"/>
  <c r="H324" i="3"/>
  <c r="I323" i="3"/>
  <c r="K323" i="3" s="1"/>
  <c r="S368" i="3"/>
  <c r="Q369" i="3"/>
  <c r="M321" i="3"/>
  <c r="Z320" i="3"/>
  <c r="AA320" i="3" s="1"/>
  <c r="T320" i="3"/>
  <c r="U320" i="3" s="1"/>
  <c r="F321" i="3" l="1"/>
  <c r="G321" i="3"/>
  <c r="V321" i="3" s="1"/>
  <c r="E322" i="3"/>
  <c r="D323" i="3"/>
  <c r="J323" i="3"/>
  <c r="H325" i="3"/>
  <c r="I324" i="3"/>
  <c r="K324" i="3" s="1"/>
  <c r="S369" i="3"/>
  <c r="Q370" i="3"/>
  <c r="M322" i="3"/>
  <c r="T321" i="3"/>
  <c r="U321" i="3" s="1"/>
  <c r="Z321" i="3"/>
  <c r="AA321" i="3" s="1"/>
  <c r="F322" i="3" l="1"/>
  <c r="G322" i="3"/>
  <c r="V322" i="3" s="1"/>
  <c r="E323" i="3"/>
  <c r="D324" i="3"/>
  <c r="J324" i="3"/>
  <c r="H326" i="3"/>
  <c r="I325" i="3"/>
  <c r="K325" i="3" s="1"/>
  <c r="S370" i="3"/>
  <c r="Q371" i="3"/>
  <c r="M323" i="3"/>
  <c r="Z322" i="3"/>
  <c r="AA322" i="3" s="1"/>
  <c r="T322" i="3"/>
  <c r="U322" i="3" s="1"/>
  <c r="F323" i="3" l="1"/>
  <c r="G323" i="3"/>
  <c r="V323" i="3" s="1"/>
  <c r="E324" i="3"/>
  <c r="D325" i="3"/>
  <c r="J325" i="3"/>
  <c r="H327" i="3"/>
  <c r="I326" i="3"/>
  <c r="K326" i="3" s="1"/>
  <c r="S371" i="3"/>
  <c r="Q372" i="3"/>
  <c r="M324" i="3"/>
  <c r="Z323" i="3"/>
  <c r="AA323" i="3" s="1"/>
  <c r="T323" i="3"/>
  <c r="U323" i="3" s="1"/>
  <c r="F324" i="3" l="1"/>
  <c r="G324" i="3"/>
  <c r="E325" i="3"/>
  <c r="D326" i="3"/>
  <c r="J326" i="3"/>
  <c r="H328" i="3"/>
  <c r="I327" i="3"/>
  <c r="K327" i="3" s="1"/>
  <c r="S372" i="3"/>
  <c r="Q373" i="3"/>
  <c r="M325" i="3"/>
  <c r="Z324" i="3"/>
  <c r="AA324" i="3" s="1"/>
  <c r="T324" i="3"/>
  <c r="F325" i="3" l="1"/>
  <c r="G325" i="3"/>
  <c r="V325" i="3" s="1"/>
  <c r="E326" i="3"/>
  <c r="D327" i="3"/>
  <c r="J327" i="3"/>
  <c r="H329" i="3"/>
  <c r="I328" i="3"/>
  <c r="K328" i="3" s="1"/>
  <c r="U324" i="3"/>
  <c r="S373" i="3"/>
  <c r="Q374" i="3"/>
  <c r="M326" i="3"/>
  <c r="Z325" i="3"/>
  <c r="AA325" i="3" s="1"/>
  <c r="T325" i="3"/>
  <c r="F326" i="3" l="1"/>
  <c r="G326" i="3"/>
  <c r="V326" i="3" s="1"/>
  <c r="E327" i="3"/>
  <c r="D328" i="3"/>
  <c r="J328" i="3"/>
  <c r="U325" i="3"/>
  <c r="H330" i="3"/>
  <c r="I329" i="3"/>
  <c r="K329" i="3" s="1"/>
  <c r="S374" i="3"/>
  <c r="Q375" i="3"/>
  <c r="M327" i="3"/>
  <c r="Z326" i="3"/>
  <c r="AA326" i="3" s="1"/>
  <c r="T326" i="3"/>
  <c r="F327" i="3" l="1"/>
  <c r="G327" i="3"/>
  <c r="V327" i="3" s="1"/>
  <c r="E328" i="3"/>
  <c r="D329" i="3"/>
  <c r="J329" i="3"/>
  <c r="H331" i="3"/>
  <c r="I330" i="3"/>
  <c r="K330" i="3" s="1"/>
  <c r="U326" i="3"/>
  <c r="S375" i="3"/>
  <c r="Q376" i="3"/>
  <c r="M328" i="3"/>
  <c r="Z327" i="3"/>
  <c r="AA327" i="3" s="1"/>
  <c r="T327" i="3"/>
  <c r="F328" i="3" l="1"/>
  <c r="G328" i="3"/>
  <c r="V328" i="3" s="1"/>
  <c r="E329" i="3"/>
  <c r="D330" i="3"/>
  <c r="U327" i="3"/>
  <c r="J330" i="3"/>
  <c r="H332" i="3"/>
  <c r="I331" i="3"/>
  <c r="K331" i="3" s="1"/>
  <c r="S376" i="3"/>
  <c r="Q377" i="3"/>
  <c r="M329" i="3"/>
  <c r="Z328" i="3"/>
  <c r="AA328" i="3" s="1"/>
  <c r="T328" i="3"/>
  <c r="F329" i="3" l="1"/>
  <c r="G329" i="3"/>
  <c r="V329" i="3" s="1"/>
  <c r="E330" i="3"/>
  <c r="D331" i="3"/>
  <c r="H333" i="3"/>
  <c r="I332" i="3"/>
  <c r="K332" i="3" s="1"/>
  <c r="U328" i="3"/>
  <c r="J331" i="3"/>
  <c r="S377" i="3"/>
  <c r="Q378" i="3"/>
  <c r="M330" i="3"/>
  <c r="Z329" i="3"/>
  <c r="AA329" i="3" s="1"/>
  <c r="T329" i="3"/>
  <c r="F330" i="3" l="1"/>
  <c r="G330" i="3"/>
  <c r="V330" i="3" s="1"/>
  <c r="E331" i="3"/>
  <c r="D332" i="3"/>
  <c r="U329" i="3"/>
  <c r="J332" i="3"/>
  <c r="H334" i="3"/>
  <c r="I333" i="3"/>
  <c r="K333" i="3" s="1"/>
  <c r="S378" i="3"/>
  <c r="Q379" i="3"/>
  <c r="M331" i="3"/>
  <c r="Z330" i="3"/>
  <c r="AA330" i="3" s="1"/>
  <c r="T330" i="3"/>
  <c r="F331" i="3" l="1"/>
  <c r="G331" i="3"/>
  <c r="V331" i="3" s="1"/>
  <c r="E332" i="3"/>
  <c r="D333" i="3"/>
  <c r="U330" i="3"/>
  <c r="H335" i="3"/>
  <c r="I334" i="3"/>
  <c r="K334" i="3" s="1"/>
  <c r="J333" i="3"/>
  <c r="S379" i="3"/>
  <c r="Q380" i="3"/>
  <c r="M332" i="3"/>
  <c r="Z331" i="3"/>
  <c r="AA331" i="3" s="1"/>
  <c r="T331" i="3"/>
  <c r="U331" i="3" l="1"/>
  <c r="F332" i="3"/>
  <c r="G332" i="3"/>
  <c r="V332" i="3" s="1"/>
  <c r="E333" i="3"/>
  <c r="D334" i="3"/>
  <c r="J334" i="3"/>
  <c r="H336" i="3"/>
  <c r="I335" i="3"/>
  <c r="K335" i="3" s="1"/>
  <c r="S380" i="3"/>
  <c r="Q381" i="3"/>
  <c r="M333" i="3"/>
  <c r="Z332" i="3"/>
  <c r="AA332" i="3" s="1"/>
  <c r="T332" i="3"/>
  <c r="U332" i="3" l="1"/>
  <c r="F333" i="3"/>
  <c r="G333" i="3"/>
  <c r="V333" i="3" s="1"/>
  <c r="E334" i="3"/>
  <c r="D335" i="3"/>
  <c r="H337" i="3"/>
  <c r="I336" i="3"/>
  <c r="K336" i="3" s="1"/>
  <c r="J335" i="3"/>
  <c r="S381" i="3"/>
  <c r="Q382" i="3"/>
  <c r="M334" i="3"/>
  <c r="Z333" i="3"/>
  <c r="AA333" i="3" s="1"/>
  <c r="T333" i="3"/>
  <c r="U333" i="3" l="1"/>
  <c r="F334" i="3"/>
  <c r="G334" i="3"/>
  <c r="V334" i="3" s="1"/>
  <c r="E335" i="3"/>
  <c r="D336" i="3"/>
  <c r="H338" i="3"/>
  <c r="I337" i="3"/>
  <c r="K337" i="3" s="1"/>
  <c r="J336" i="3"/>
  <c r="S382" i="3"/>
  <c r="Q383" i="3"/>
  <c r="M335" i="3"/>
  <c r="Z334" i="3"/>
  <c r="AA334" i="3" s="1"/>
  <c r="T334" i="3"/>
  <c r="U334" i="3" s="1"/>
  <c r="F335" i="3" l="1"/>
  <c r="G335" i="3"/>
  <c r="V335" i="3" s="1"/>
  <c r="E336" i="3"/>
  <c r="D337" i="3"/>
  <c r="J337" i="3"/>
  <c r="H339" i="3"/>
  <c r="I338" i="3"/>
  <c r="K338" i="3" s="1"/>
  <c r="S383" i="3"/>
  <c r="Q384" i="3"/>
  <c r="M336" i="3"/>
  <c r="Z335" i="3"/>
  <c r="AA335" i="3" s="1"/>
  <c r="T335" i="3"/>
  <c r="U335" i="3" s="1"/>
  <c r="F336" i="3" l="1"/>
  <c r="G336" i="3"/>
  <c r="V336" i="3" s="1"/>
  <c r="E337" i="3"/>
  <c r="D338" i="3"/>
  <c r="J338" i="3"/>
  <c r="H340" i="3"/>
  <c r="I339" i="3"/>
  <c r="K339" i="3" s="1"/>
  <c r="S384" i="3"/>
  <c r="Q385" i="3"/>
  <c r="M337" i="3"/>
  <c r="Z336" i="3"/>
  <c r="AA336" i="3" s="1"/>
  <c r="T336" i="3"/>
  <c r="U336" i="3" s="1"/>
  <c r="F337" i="3" l="1"/>
  <c r="G337" i="3"/>
  <c r="V337" i="3" s="1"/>
  <c r="E338" i="3"/>
  <c r="D339" i="3"/>
  <c r="J339" i="3"/>
  <c r="H341" i="3"/>
  <c r="I340" i="3"/>
  <c r="K340" i="3" s="1"/>
  <c r="S385" i="3"/>
  <c r="Q386" i="3"/>
  <c r="M338" i="3"/>
  <c r="T337" i="3"/>
  <c r="U337" i="3" s="1"/>
  <c r="Z337" i="3"/>
  <c r="AA337" i="3" s="1"/>
  <c r="F338" i="3" l="1"/>
  <c r="G338" i="3"/>
  <c r="V338" i="3" s="1"/>
  <c r="E339" i="3"/>
  <c r="D340" i="3"/>
  <c r="J340" i="3"/>
  <c r="H342" i="3"/>
  <c r="I341" i="3"/>
  <c r="K341" i="3" s="1"/>
  <c r="S386" i="3"/>
  <c r="Q387" i="3"/>
  <c r="M339" i="3"/>
  <c r="Z338" i="3"/>
  <c r="AA338" i="3" s="1"/>
  <c r="T338" i="3"/>
  <c r="U338" i="3" s="1"/>
  <c r="F339" i="3" l="1"/>
  <c r="G339" i="3"/>
  <c r="V339" i="3" s="1"/>
  <c r="E340" i="3"/>
  <c r="D341" i="3"/>
  <c r="H343" i="3"/>
  <c r="I342" i="3"/>
  <c r="K342" i="3" s="1"/>
  <c r="J341" i="3"/>
  <c r="Q388" i="3"/>
  <c r="S387" i="3"/>
  <c r="M340" i="3"/>
  <c r="Z339" i="3"/>
  <c r="AA339" i="3" s="1"/>
  <c r="T339" i="3"/>
  <c r="U339" i="3" s="1"/>
  <c r="F340" i="3" l="1"/>
  <c r="G340" i="3"/>
  <c r="V340" i="3" s="1"/>
  <c r="E341" i="3"/>
  <c r="D342" i="3"/>
  <c r="H344" i="3"/>
  <c r="I343" i="3"/>
  <c r="K343" i="3" s="1"/>
  <c r="J342" i="3"/>
  <c r="S388" i="3"/>
  <c r="Q389" i="3"/>
  <c r="M341" i="3"/>
  <c r="Z340" i="3"/>
  <c r="AA340" i="3" s="1"/>
  <c r="T340" i="3"/>
  <c r="U340" i="3" s="1"/>
  <c r="F341" i="3" l="1"/>
  <c r="G341" i="3"/>
  <c r="V341" i="3" s="1"/>
  <c r="E342" i="3"/>
  <c r="D343" i="3"/>
  <c r="J343" i="3"/>
  <c r="H345" i="3"/>
  <c r="I344" i="3"/>
  <c r="K344" i="3" s="1"/>
  <c r="S389" i="3"/>
  <c r="Q390" i="3"/>
  <c r="M342" i="3"/>
  <c r="Z341" i="3"/>
  <c r="AA341" i="3" s="1"/>
  <c r="T341" i="3"/>
  <c r="U341" i="3" s="1"/>
  <c r="F342" i="3" l="1"/>
  <c r="G342" i="3"/>
  <c r="V342" i="3" s="1"/>
  <c r="E343" i="3"/>
  <c r="D344" i="3"/>
  <c r="J344" i="3"/>
  <c r="H346" i="3"/>
  <c r="I345" i="3"/>
  <c r="K345" i="3" s="1"/>
  <c r="S390" i="3"/>
  <c r="Q391" i="3"/>
  <c r="M343" i="3"/>
  <c r="Z342" i="3"/>
  <c r="AA342" i="3" s="1"/>
  <c r="T342" i="3"/>
  <c r="U342" i="3" s="1"/>
  <c r="F343" i="3" l="1"/>
  <c r="G343" i="3"/>
  <c r="V343" i="3" s="1"/>
  <c r="E344" i="3"/>
  <c r="D345" i="3"/>
  <c r="J345" i="3"/>
  <c r="H347" i="3"/>
  <c r="I346" i="3"/>
  <c r="K346" i="3" s="1"/>
  <c r="Q392" i="3"/>
  <c r="S391" i="3"/>
  <c r="M344" i="3"/>
  <c r="Z343" i="3"/>
  <c r="AA343" i="3" s="1"/>
  <c r="T343" i="3"/>
  <c r="U343" i="3" s="1"/>
  <c r="F344" i="3" l="1"/>
  <c r="G344" i="3"/>
  <c r="V344" i="3" s="1"/>
  <c r="E345" i="3"/>
  <c r="D346" i="3"/>
  <c r="J346" i="3"/>
  <c r="H348" i="3"/>
  <c r="I347" i="3"/>
  <c r="K347" i="3" s="1"/>
  <c r="S392" i="3"/>
  <c r="Q393" i="3"/>
  <c r="M345" i="3"/>
  <c r="Z344" i="3"/>
  <c r="AA344" i="3" s="1"/>
  <c r="T344" i="3"/>
  <c r="U344" i="3" s="1"/>
  <c r="F345" i="3" l="1"/>
  <c r="G345" i="3"/>
  <c r="V345" i="3" s="1"/>
  <c r="E346" i="3"/>
  <c r="D347" i="3"/>
  <c r="J347" i="3"/>
  <c r="H349" i="3"/>
  <c r="I348" i="3"/>
  <c r="K348" i="3" s="1"/>
  <c r="S393" i="3"/>
  <c r="Q394" i="3"/>
  <c r="M346" i="3"/>
  <c r="Z345" i="3"/>
  <c r="AA345" i="3" s="1"/>
  <c r="T345" i="3"/>
  <c r="U345" i="3" s="1"/>
  <c r="F346" i="3" l="1"/>
  <c r="G346" i="3"/>
  <c r="V346" i="3" s="1"/>
  <c r="E347" i="3"/>
  <c r="D348" i="3"/>
  <c r="H350" i="3"/>
  <c r="I349" i="3"/>
  <c r="K349" i="3" s="1"/>
  <c r="J348" i="3"/>
  <c r="S394" i="3"/>
  <c r="Q395" i="3"/>
  <c r="M347" i="3"/>
  <c r="Z346" i="3"/>
  <c r="AA346" i="3" s="1"/>
  <c r="T346" i="3"/>
  <c r="U346" i="3" s="1"/>
  <c r="F347" i="3" l="1"/>
  <c r="G347" i="3"/>
  <c r="V347" i="3" s="1"/>
  <c r="E348" i="3"/>
  <c r="D349" i="3"/>
  <c r="J349" i="3"/>
  <c r="H351" i="3"/>
  <c r="I350" i="3"/>
  <c r="K350" i="3" s="1"/>
  <c r="Q396" i="3"/>
  <c r="S395" i="3"/>
  <c r="M348" i="3"/>
  <c r="Z347" i="3"/>
  <c r="AA347" i="3" s="1"/>
  <c r="T347" i="3"/>
  <c r="U347" i="3" s="1"/>
  <c r="F348" i="3" l="1"/>
  <c r="G348" i="3"/>
  <c r="V348" i="3" s="1"/>
  <c r="E349" i="3"/>
  <c r="D350" i="3"/>
  <c r="J350" i="3"/>
  <c r="H352" i="3"/>
  <c r="I351" i="3"/>
  <c r="K351" i="3" s="1"/>
  <c r="Q397" i="3"/>
  <c r="S396" i="3"/>
  <c r="M349" i="3"/>
  <c r="Z348" i="3"/>
  <c r="AA348" i="3" s="1"/>
  <c r="T348" i="3"/>
  <c r="U348" i="3" s="1"/>
  <c r="F349" i="3" l="1"/>
  <c r="G349" i="3"/>
  <c r="V349" i="3" s="1"/>
  <c r="E350" i="3"/>
  <c r="D351" i="3"/>
  <c r="H353" i="3"/>
  <c r="I352" i="3"/>
  <c r="K352" i="3" s="1"/>
  <c r="J351" i="3"/>
  <c r="S397" i="3"/>
  <c r="Q398" i="3"/>
  <c r="M350" i="3"/>
  <c r="Z349" i="3"/>
  <c r="AA349" i="3" s="1"/>
  <c r="T349" i="3"/>
  <c r="U349" i="3" s="1"/>
  <c r="F350" i="3" l="1"/>
  <c r="G350" i="3"/>
  <c r="V350" i="3" s="1"/>
  <c r="E351" i="3"/>
  <c r="D352" i="3"/>
  <c r="H354" i="3"/>
  <c r="I353" i="3"/>
  <c r="K353" i="3" s="1"/>
  <c r="J352" i="3"/>
  <c r="S398" i="3"/>
  <c r="Q399" i="3"/>
  <c r="M351" i="3"/>
  <c r="Z350" i="3"/>
  <c r="AA350" i="3" s="1"/>
  <c r="T350" i="3"/>
  <c r="U350" i="3" s="1"/>
  <c r="F351" i="3" l="1"/>
  <c r="G351" i="3"/>
  <c r="V351" i="3" s="1"/>
  <c r="E352" i="3"/>
  <c r="D353" i="3"/>
  <c r="J353" i="3"/>
  <c r="H355" i="3"/>
  <c r="I354" i="3"/>
  <c r="K354" i="3" s="1"/>
  <c r="Q400" i="3"/>
  <c r="S399" i="3"/>
  <c r="M352" i="3"/>
  <c r="Z351" i="3"/>
  <c r="AA351" i="3" s="1"/>
  <c r="T351" i="3"/>
  <c r="U351" i="3" s="1"/>
  <c r="F352" i="3" l="1"/>
  <c r="G352" i="3"/>
  <c r="V352" i="3" s="1"/>
  <c r="E353" i="3"/>
  <c r="D354" i="3"/>
  <c r="J354" i="3"/>
  <c r="H356" i="3"/>
  <c r="I355" i="3"/>
  <c r="K355" i="3" s="1"/>
  <c r="Q401" i="3"/>
  <c r="S400" i="3"/>
  <c r="M353" i="3"/>
  <c r="Z352" i="3"/>
  <c r="AA352" i="3" s="1"/>
  <c r="T352" i="3"/>
  <c r="U352" i="3" s="1"/>
  <c r="F353" i="3" l="1"/>
  <c r="G353" i="3"/>
  <c r="V353" i="3" s="1"/>
  <c r="E354" i="3"/>
  <c r="D355" i="3"/>
  <c r="J355" i="3"/>
  <c r="H357" i="3"/>
  <c r="I356" i="3"/>
  <c r="K356" i="3" s="1"/>
  <c r="S401" i="3"/>
  <c r="Q402" i="3"/>
  <c r="M354" i="3"/>
  <c r="Z353" i="3"/>
  <c r="AA353" i="3" s="1"/>
  <c r="T353" i="3"/>
  <c r="U353" i="3" s="1"/>
  <c r="F354" i="3" l="1"/>
  <c r="G354" i="3"/>
  <c r="E355" i="3"/>
  <c r="D356" i="3"/>
  <c r="H358" i="3"/>
  <c r="I357" i="3"/>
  <c r="K357" i="3" s="1"/>
  <c r="J356" i="3"/>
  <c r="S402" i="3"/>
  <c r="Q403" i="3"/>
  <c r="M355" i="3"/>
  <c r="Z354" i="3"/>
  <c r="AA354" i="3" s="1"/>
  <c r="T354" i="3"/>
  <c r="F355" i="3" l="1"/>
  <c r="G355" i="3"/>
  <c r="V355" i="3" s="1"/>
  <c r="E356" i="3"/>
  <c r="D357" i="3"/>
  <c r="J357" i="3"/>
  <c r="H359" i="3"/>
  <c r="I358" i="3"/>
  <c r="K358" i="3" s="1"/>
  <c r="U354" i="3"/>
  <c r="Q404" i="3"/>
  <c r="S403" i="3"/>
  <c r="M356" i="3"/>
  <c r="Z355" i="3"/>
  <c r="AA355" i="3" s="1"/>
  <c r="T355" i="3"/>
  <c r="F356" i="3" l="1"/>
  <c r="G356" i="3"/>
  <c r="V356" i="3" s="1"/>
  <c r="E357" i="3"/>
  <c r="U355" i="3"/>
  <c r="D358" i="3"/>
  <c r="H360" i="3"/>
  <c r="I359" i="3"/>
  <c r="K359" i="3" s="1"/>
  <c r="J358" i="3"/>
  <c r="Q405" i="3"/>
  <c r="S404" i="3"/>
  <c r="M357" i="3"/>
  <c r="Z356" i="3"/>
  <c r="AA356" i="3" s="1"/>
  <c r="T356" i="3"/>
  <c r="F357" i="3" l="1"/>
  <c r="G357" i="3"/>
  <c r="V357" i="3" s="1"/>
  <c r="E358" i="3"/>
  <c r="D359" i="3"/>
  <c r="H361" i="3"/>
  <c r="I360" i="3"/>
  <c r="K360" i="3" s="1"/>
  <c r="U356" i="3"/>
  <c r="J359" i="3"/>
  <c r="S405" i="3"/>
  <c r="Q406" i="3"/>
  <c r="M358" i="3"/>
  <c r="Z357" i="3"/>
  <c r="AA357" i="3" s="1"/>
  <c r="T357" i="3"/>
  <c r="F358" i="3" l="1"/>
  <c r="G358" i="3"/>
  <c r="V358" i="3" s="1"/>
  <c r="E359" i="3"/>
  <c r="D360" i="3"/>
  <c r="U357" i="3"/>
  <c r="J360" i="3"/>
  <c r="H362" i="3"/>
  <c r="I361" i="3"/>
  <c r="K361" i="3" s="1"/>
  <c r="S406" i="3"/>
  <c r="Q407" i="3"/>
  <c r="M359" i="3"/>
  <c r="Z358" i="3"/>
  <c r="AA358" i="3" s="1"/>
  <c r="T358" i="3"/>
  <c r="F359" i="3" l="1"/>
  <c r="G359" i="3"/>
  <c r="V359" i="3" s="1"/>
  <c r="E360" i="3"/>
  <c r="D361" i="3"/>
  <c r="H363" i="3"/>
  <c r="I362" i="3"/>
  <c r="K362" i="3" s="1"/>
  <c r="J361" i="3"/>
  <c r="U358" i="3"/>
  <c r="Q408" i="3"/>
  <c r="S407" i="3"/>
  <c r="M360" i="3"/>
  <c r="Z359" i="3"/>
  <c r="AA359" i="3" s="1"/>
  <c r="T359" i="3"/>
  <c r="F360" i="3" l="1"/>
  <c r="G360" i="3"/>
  <c r="V360" i="3" s="1"/>
  <c r="E361" i="3"/>
  <c r="D362" i="3"/>
  <c r="J362" i="3"/>
  <c r="U359" i="3"/>
  <c r="H364" i="3"/>
  <c r="I363" i="3"/>
  <c r="K363" i="3" s="1"/>
  <c r="Q409" i="3"/>
  <c r="S408" i="3"/>
  <c r="M361" i="3"/>
  <c r="Z360" i="3"/>
  <c r="AA360" i="3" s="1"/>
  <c r="T360" i="3"/>
  <c r="F361" i="3" l="1"/>
  <c r="G361" i="3"/>
  <c r="V361" i="3" s="1"/>
  <c r="E362" i="3"/>
  <c r="G362" i="3" s="1"/>
  <c r="V362" i="3" s="1"/>
  <c r="D363" i="3"/>
  <c r="H365" i="3"/>
  <c r="I364" i="3"/>
  <c r="K364" i="3" s="1"/>
  <c r="U360" i="3"/>
  <c r="J363" i="3"/>
  <c r="S409" i="3"/>
  <c r="Q410" i="3"/>
  <c r="M362" i="3"/>
  <c r="T361" i="3"/>
  <c r="Z361" i="3"/>
  <c r="AA361" i="3" s="1"/>
  <c r="F362" i="3" l="1"/>
  <c r="E363" i="3"/>
  <c r="G363" i="3" s="1"/>
  <c r="V363" i="3" s="1"/>
  <c r="D364" i="3"/>
  <c r="U361" i="3"/>
  <c r="J364" i="3"/>
  <c r="H366" i="3"/>
  <c r="I365" i="3"/>
  <c r="K365" i="3" s="1"/>
  <c r="S410" i="3"/>
  <c r="Q411" i="3"/>
  <c r="M363" i="3"/>
  <c r="Z362" i="3"/>
  <c r="AA362" i="3" s="1"/>
  <c r="T362" i="3"/>
  <c r="F363" i="3" l="1"/>
  <c r="E364" i="3"/>
  <c r="G364" i="3" s="1"/>
  <c r="V364" i="3" s="1"/>
  <c r="D365" i="3"/>
  <c r="U362" i="3"/>
  <c r="H367" i="3"/>
  <c r="I366" i="3"/>
  <c r="K366" i="3" s="1"/>
  <c r="J365" i="3"/>
  <c r="Q412" i="3"/>
  <c r="S411" i="3"/>
  <c r="M364" i="3"/>
  <c r="Z363" i="3"/>
  <c r="AA363" i="3" s="1"/>
  <c r="T363" i="3"/>
  <c r="F364" i="3" l="1"/>
  <c r="E365" i="3"/>
  <c r="G365" i="3" s="1"/>
  <c r="V365" i="3" s="1"/>
  <c r="D366" i="3"/>
  <c r="U363" i="3"/>
  <c r="J366" i="3"/>
  <c r="H368" i="3"/>
  <c r="I367" i="3"/>
  <c r="K367" i="3" s="1"/>
  <c r="Q413" i="3"/>
  <c r="S412" i="3"/>
  <c r="M365" i="3"/>
  <c r="Z364" i="3"/>
  <c r="AA364" i="3" s="1"/>
  <c r="T364" i="3"/>
  <c r="F365" i="3" l="1"/>
  <c r="E366" i="3"/>
  <c r="G366" i="3" s="1"/>
  <c r="V366" i="3" s="1"/>
  <c r="U364" i="3"/>
  <c r="D367" i="3"/>
  <c r="J367" i="3"/>
  <c r="H369" i="3"/>
  <c r="I368" i="3"/>
  <c r="K368" i="3" s="1"/>
  <c r="S413" i="3"/>
  <c r="Q414" i="3"/>
  <c r="M366" i="3"/>
  <c r="T365" i="3"/>
  <c r="Z365" i="3"/>
  <c r="AA365" i="3" s="1"/>
  <c r="U365" i="3" l="1"/>
  <c r="F366" i="3"/>
  <c r="E367" i="3"/>
  <c r="G367" i="3" s="1"/>
  <c r="V367" i="3" s="1"/>
  <c r="D368" i="3"/>
  <c r="J368" i="3"/>
  <c r="H370" i="3"/>
  <c r="I369" i="3"/>
  <c r="K369" i="3" s="1"/>
  <c r="M367" i="3"/>
  <c r="Z366" i="3"/>
  <c r="AA366" i="3" s="1"/>
  <c r="T366" i="3"/>
  <c r="S414" i="3"/>
  <c r="Q415" i="3"/>
  <c r="U366" i="3" l="1"/>
  <c r="F367" i="3"/>
  <c r="E368" i="3"/>
  <c r="G368" i="3" s="1"/>
  <c r="V368" i="3" s="1"/>
  <c r="D369" i="3"/>
  <c r="J369" i="3"/>
  <c r="H371" i="3"/>
  <c r="I370" i="3"/>
  <c r="K370" i="3" s="1"/>
  <c r="Q416" i="3"/>
  <c r="S415" i="3"/>
  <c r="M368" i="3"/>
  <c r="Z367" i="3"/>
  <c r="AA367" i="3" s="1"/>
  <c r="T367" i="3"/>
  <c r="U367" i="3" l="1"/>
  <c r="F368" i="3"/>
  <c r="E369" i="3"/>
  <c r="G369" i="3" s="1"/>
  <c r="V369" i="3" s="1"/>
  <c r="D370" i="3"/>
  <c r="J370" i="3"/>
  <c r="H372" i="3"/>
  <c r="I371" i="3"/>
  <c r="K371" i="3" s="1"/>
  <c r="Q417" i="3"/>
  <c r="S416" i="3"/>
  <c r="M369" i="3"/>
  <c r="Z368" i="3"/>
  <c r="AA368" i="3" s="1"/>
  <c r="T368" i="3"/>
  <c r="U368" i="3" s="1"/>
  <c r="F369" i="3" l="1"/>
  <c r="E370" i="3"/>
  <c r="G370" i="3" s="1"/>
  <c r="V370" i="3" s="1"/>
  <c r="D371" i="3"/>
  <c r="J371" i="3"/>
  <c r="H373" i="3"/>
  <c r="I372" i="3"/>
  <c r="K372" i="3" s="1"/>
  <c r="S417" i="3"/>
  <c r="Q418" i="3"/>
  <c r="M370" i="3"/>
  <c r="Z369" i="3"/>
  <c r="AA369" i="3" s="1"/>
  <c r="T369" i="3"/>
  <c r="U369" i="3" s="1"/>
  <c r="F370" i="3" l="1"/>
  <c r="E371" i="3"/>
  <c r="G371" i="3" s="1"/>
  <c r="D372" i="3"/>
  <c r="J372" i="3"/>
  <c r="H374" i="3"/>
  <c r="I373" i="3"/>
  <c r="K373" i="3" s="1"/>
  <c r="S418" i="3"/>
  <c r="Q419" i="3"/>
  <c r="M371" i="3"/>
  <c r="T371" i="3" s="1"/>
  <c r="Z370" i="3"/>
  <c r="AA370" i="3" s="1"/>
  <c r="T370" i="3"/>
  <c r="U370" i="3" s="1"/>
  <c r="V371" i="3" l="1"/>
  <c r="F371" i="3"/>
  <c r="E372" i="3"/>
  <c r="G372" i="3" s="1"/>
  <c r="V372" i="3" s="1"/>
  <c r="D373" i="3"/>
  <c r="J373" i="3"/>
  <c r="H375" i="3"/>
  <c r="I374" i="3"/>
  <c r="K374" i="3" s="1"/>
  <c r="Q420" i="3"/>
  <c r="S419" i="3"/>
  <c r="M372" i="3"/>
  <c r="Z371" i="3"/>
  <c r="F372" i="3" l="1"/>
  <c r="E373" i="3"/>
  <c r="G373" i="3" s="1"/>
  <c r="D374" i="3"/>
  <c r="J374" i="3"/>
  <c r="H376" i="3"/>
  <c r="I375" i="3"/>
  <c r="K375" i="3" s="1"/>
  <c r="U371" i="3"/>
  <c r="AA371" i="3"/>
  <c r="Q421" i="3"/>
  <c r="S420" i="3"/>
  <c r="M373" i="3"/>
  <c r="Z372" i="3"/>
  <c r="T372" i="3"/>
  <c r="V373" i="3" l="1"/>
  <c r="F373" i="3"/>
  <c r="E374" i="3"/>
  <c r="G374" i="3" s="1"/>
  <c r="D375" i="3"/>
  <c r="H377" i="3"/>
  <c r="I376" i="3"/>
  <c r="K376" i="3" s="1"/>
  <c r="J375" i="3"/>
  <c r="U372" i="3"/>
  <c r="AA372" i="3"/>
  <c r="S421" i="3"/>
  <c r="Q422" i="3"/>
  <c r="M374" i="3"/>
  <c r="Z373" i="3"/>
  <c r="T373" i="3"/>
  <c r="V374" i="3" l="1"/>
  <c r="F374" i="3"/>
  <c r="E375" i="3"/>
  <c r="G375" i="3" s="1"/>
  <c r="V375" i="3" s="1"/>
  <c r="AA373" i="3"/>
  <c r="D376" i="3"/>
  <c r="U373" i="3"/>
  <c r="H378" i="3"/>
  <c r="I377" i="3"/>
  <c r="K377" i="3" s="1"/>
  <c r="J376" i="3"/>
  <c r="S422" i="3"/>
  <c r="Q423" i="3"/>
  <c r="M375" i="3"/>
  <c r="Z374" i="3"/>
  <c r="T374" i="3"/>
  <c r="U374" i="3" l="1"/>
  <c r="F375" i="3"/>
  <c r="AA374" i="3"/>
  <c r="E376" i="3"/>
  <c r="G376" i="3" s="1"/>
  <c r="V376" i="3" s="1"/>
  <c r="D377" i="3"/>
  <c r="J377" i="3"/>
  <c r="H379" i="3"/>
  <c r="I378" i="3"/>
  <c r="K378" i="3" s="1"/>
  <c r="Q424" i="3"/>
  <c r="S423" i="3"/>
  <c r="M376" i="3"/>
  <c r="Z375" i="3"/>
  <c r="T375" i="3"/>
  <c r="U375" i="3" s="1"/>
  <c r="F376" i="3" l="1"/>
  <c r="AA375" i="3"/>
  <c r="E377" i="3"/>
  <c r="G377" i="3" s="1"/>
  <c r="V377" i="3" s="1"/>
  <c r="D378" i="3"/>
  <c r="J378" i="3"/>
  <c r="H380" i="3"/>
  <c r="I379" i="3"/>
  <c r="K379" i="3" s="1"/>
  <c r="Q425" i="3"/>
  <c r="S424" i="3"/>
  <c r="M377" i="3"/>
  <c r="Z376" i="3"/>
  <c r="T376" i="3"/>
  <c r="F377" i="3" l="1"/>
  <c r="E378" i="3"/>
  <c r="G378" i="3" s="1"/>
  <c r="V378" i="3" s="1"/>
  <c r="D379" i="3"/>
  <c r="J379" i="3"/>
  <c r="H381" i="3"/>
  <c r="I380" i="3"/>
  <c r="K380" i="3" s="1"/>
  <c r="AA376" i="3"/>
  <c r="U376" i="3"/>
  <c r="S425" i="3"/>
  <c r="Q426" i="3"/>
  <c r="M378" i="3"/>
  <c r="T377" i="3"/>
  <c r="Z377" i="3"/>
  <c r="F378" i="3" l="1"/>
  <c r="E379" i="3"/>
  <c r="G379" i="3" s="1"/>
  <c r="V379" i="3" s="1"/>
  <c r="D380" i="3"/>
  <c r="J380" i="3"/>
  <c r="H382" i="3"/>
  <c r="I381" i="3"/>
  <c r="K381" i="3" s="1"/>
  <c r="AA377" i="3"/>
  <c r="U377" i="3"/>
  <c r="S426" i="3"/>
  <c r="Q427" i="3"/>
  <c r="M379" i="3"/>
  <c r="Z378" i="3"/>
  <c r="T378" i="3"/>
  <c r="F379" i="3" l="1"/>
  <c r="E380" i="3"/>
  <c r="G380" i="3" s="1"/>
  <c r="V380" i="3" s="1"/>
  <c r="U378" i="3"/>
  <c r="D381" i="3"/>
  <c r="AA378" i="3"/>
  <c r="J381" i="3"/>
  <c r="H383" i="3"/>
  <c r="I382" i="3"/>
  <c r="K382" i="3" s="1"/>
  <c r="Q428" i="3"/>
  <c r="S427" i="3"/>
  <c r="M380" i="3"/>
  <c r="Z379" i="3"/>
  <c r="T379" i="3"/>
  <c r="F380" i="3" l="1"/>
  <c r="AA379" i="3"/>
  <c r="U379" i="3"/>
  <c r="E381" i="3"/>
  <c r="D382" i="3"/>
  <c r="J382" i="3"/>
  <c r="H384" i="3"/>
  <c r="I383" i="3"/>
  <c r="K383" i="3" s="1"/>
  <c r="Q429" i="3"/>
  <c r="S428" i="3"/>
  <c r="M381" i="3"/>
  <c r="Z380" i="3"/>
  <c r="T380" i="3"/>
  <c r="AA380" i="3" l="1"/>
  <c r="F381" i="3"/>
  <c r="G381" i="3"/>
  <c r="V381" i="3" s="1"/>
  <c r="U380" i="3"/>
  <c r="E382" i="3"/>
  <c r="D383" i="3"/>
  <c r="J383" i="3"/>
  <c r="H385" i="3"/>
  <c r="I384" i="3"/>
  <c r="K384" i="3" s="1"/>
  <c r="S429" i="3"/>
  <c r="Q430" i="3"/>
  <c r="M382" i="3"/>
  <c r="T381" i="3"/>
  <c r="Z381" i="3"/>
  <c r="AA381" i="3" l="1"/>
  <c r="F382" i="3"/>
  <c r="G382" i="3"/>
  <c r="V382" i="3" s="1"/>
  <c r="U381" i="3"/>
  <c r="E383" i="3"/>
  <c r="D384" i="3"/>
  <c r="J384" i="3"/>
  <c r="H386" i="3"/>
  <c r="I385" i="3"/>
  <c r="S430" i="3"/>
  <c r="Q431" i="3"/>
  <c r="M383" i="3"/>
  <c r="Z382" i="3"/>
  <c r="AA382" i="3" s="1"/>
  <c r="T382" i="3"/>
  <c r="F383" i="3" l="1"/>
  <c r="G383" i="3"/>
  <c r="V383" i="3" s="1"/>
  <c r="U382" i="3"/>
  <c r="E384" i="3"/>
  <c r="D385" i="3"/>
  <c r="J385" i="3"/>
  <c r="H387" i="3"/>
  <c r="I386" i="3"/>
  <c r="K386" i="3" s="1"/>
  <c r="Q432" i="3"/>
  <c r="S431" i="3"/>
  <c r="M384" i="3"/>
  <c r="Z383" i="3"/>
  <c r="AA383" i="3" s="1"/>
  <c r="T383" i="3"/>
  <c r="F384" i="3" l="1"/>
  <c r="G384" i="3"/>
  <c r="V384" i="3" s="1"/>
  <c r="U383" i="3"/>
  <c r="E385" i="3"/>
  <c r="D386" i="3"/>
  <c r="H388" i="3"/>
  <c r="I387" i="3"/>
  <c r="K387" i="3" s="1"/>
  <c r="J386" i="3"/>
  <c r="Q433" i="3"/>
  <c r="S432" i="3"/>
  <c r="M385" i="3"/>
  <c r="Z384" i="3"/>
  <c r="AA384" i="3" s="1"/>
  <c r="T384" i="3"/>
  <c r="F385" i="3" l="1"/>
  <c r="E386" i="3"/>
  <c r="D387" i="3"/>
  <c r="J387" i="3"/>
  <c r="H389" i="3"/>
  <c r="I388" i="3"/>
  <c r="K388" i="3" s="1"/>
  <c r="U384" i="3"/>
  <c r="S433" i="3"/>
  <c r="Q434" i="3"/>
  <c r="M386" i="3"/>
  <c r="Z385" i="3"/>
  <c r="AA385" i="3" s="1"/>
  <c r="T385" i="3"/>
  <c r="F386" i="3" l="1"/>
  <c r="G386" i="3"/>
  <c r="V386" i="3" s="1"/>
  <c r="E387" i="3"/>
  <c r="D388" i="3"/>
  <c r="H390" i="3"/>
  <c r="I389" i="3"/>
  <c r="K389" i="3" s="1"/>
  <c r="J388" i="3"/>
  <c r="U385" i="3"/>
  <c r="S434" i="3"/>
  <c r="Q435" i="3"/>
  <c r="S435" i="3" s="1"/>
  <c r="M387" i="3"/>
  <c r="Z386" i="3"/>
  <c r="AA386" i="3" s="1"/>
  <c r="T386" i="3"/>
  <c r="F387" i="3" l="1"/>
  <c r="G387" i="3"/>
  <c r="V387" i="3" s="1"/>
  <c r="E388" i="3"/>
  <c r="D389" i="3"/>
  <c r="U386" i="3"/>
  <c r="J389" i="3"/>
  <c r="H391" i="3"/>
  <c r="I390" i="3"/>
  <c r="K390" i="3" s="1"/>
  <c r="M388" i="3"/>
  <c r="Z387" i="3"/>
  <c r="AA387" i="3" s="1"/>
  <c r="T387" i="3"/>
  <c r="F388" i="3" l="1"/>
  <c r="G388" i="3"/>
  <c r="V388" i="3" s="1"/>
  <c r="E389" i="3"/>
  <c r="D390" i="3"/>
  <c r="J390" i="3"/>
  <c r="U387" i="3"/>
  <c r="H392" i="3"/>
  <c r="I391" i="3"/>
  <c r="K391" i="3" s="1"/>
  <c r="M389" i="3"/>
  <c r="Z388" i="3"/>
  <c r="AA388" i="3" s="1"/>
  <c r="T388" i="3"/>
  <c r="U388" i="3" l="1"/>
  <c r="F389" i="3"/>
  <c r="G389" i="3"/>
  <c r="V389" i="3" s="1"/>
  <c r="E390" i="3"/>
  <c r="D391" i="3"/>
  <c r="H393" i="3"/>
  <c r="I392" i="3"/>
  <c r="K392" i="3" s="1"/>
  <c r="J391" i="3"/>
  <c r="M390" i="3"/>
  <c r="Z389" i="3"/>
  <c r="AA389" i="3" s="1"/>
  <c r="T389" i="3"/>
  <c r="F390" i="3" l="1"/>
  <c r="G390" i="3"/>
  <c r="V390" i="3" s="1"/>
  <c r="E391" i="3"/>
  <c r="D392" i="3"/>
  <c r="U389" i="3"/>
  <c r="J392" i="3"/>
  <c r="H394" i="3"/>
  <c r="I393" i="3"/>
  <c r="K393" i="3" s="1"/>
  <c r="M391" i="3"/>
  <c r="Z390" i="3"/>
  <c r="AA390" i="3" s="1"/>
  <c r="T390" i="3"/>
  <c r="F391" i="3" l="1"/>
  <c r="G391" i="3"/>
  <c r="V391" i="3" s="1"/>
  <c r="E392" i="3"/>
  <c r="D393" i="3"/>
  <c r="U390" i="3"/>
  <c r="H395" i="3"/>
  <c r="I394" i="3"/>
  <c r="K394" i="3" s="1"/>
  <c r="J393" i="3"/>
  <c r="M392" i="3"/>
  <c r="Z391" i="3"/>
  <c r="AA391" i="3" s="1"/>
  <c r="T391" i="3"/>
  <c r="F392" i="3" l="1"/>
  <c r="G392" i="3"/>
  <c r="V392" i="3" s="1"/>
  <c r="E393" i="3"/>
  <c r="D394" i="3"/>
  <c r="J394" i="3"/>
  <c r="U391" i="3"/>
  <c r="H396" i="3"/>
  <c r="I395" i="3"/>
  <c r="K395" i="3" s="1"/>
  <c r="M393" i="3"/>
  <c r="Z392" i="3"/>
  <c r="AA392" i="3" s="1"/>
  <c r="T392" i="3"/>
  <c r="F393" i="3" l="1"/>
  <c r="G393" i="3"/>
  <c r="V393" i="3" s="1"/>
  <c r="E394" i="3"/>
  <c r="D395" i="3"/>
  <c r="U392" i="3"/>
  <c r="H397" i="3"/>
  <c r="I396" i="3"/>
  <c r="K396" i="3" s="1"/>
  <c r="J395" i="3"/>
  <c r="M394" i="3"/>
  <c r="T393" i="3"/>
  <c r="Z393" i="3"/>
  <c r="AA393" i="3" s="1"/>
  <c r="F394" i="3" l="1"/>
  <c r="G394" i="3"/>
  <c r="V394" i="3" s="1"/>
  <c r="E395" i="3"/>
  <c r="U393" i="3"/>
  <c r="D396" i="3"/>
  <c r="H398" i="3"/>
  <c r="I397" i="3"/>
  <c r="K397" i="3" s="1"/>
  <c r="J396" i="3"/>
  <c r="M395" i="3"/>
  <c r="Z394" i="3"/>
  <c r="AA394" i="3" s="1"/>
  <c r="T394" i="3"/>
  <c r="F395" i="3" l="1"/>
  <c r="G395" i="3"/>
  <c r="V395" i="3" s="1"/>
  <c r="J397" i="3"/>
  <c r="U394" i="3"/>
  <c r="E396" i="3"/>
  <c r="D397" i="3"/>
  <c r="H399" i="3"/>
  <c r="I398" i="3"/>
  <c r="K398" i="3" s="1"/>
  <c r="M396" i="3"/>
  <c r="Z395" i="3"/>
  <c r="AA395" i="3" s="1"/>
  <c r="T395" i="3"/>
  <c r="F396" i="3" l="1"/>
  <c r="G396" i="3"/>
  <c r="V396" i="3" s="1"/>
  <c r="U395" i="3"/>
  <c r="E397" i="3"/>
  <c r="D398" i="3"/>
  <c r="J398" i="3"/>
  <c r="H400" i="3"/>
  <c r="I399" i="3"/>
  <c r="K399" i="3" s="1"/>
  <c r="M397" i="3"/>
  <c r="Z396" i="3"/>
  <c r="AA396" i="3" s="1"/>
  <c r="T396" i="3"/>
  <c r="U396" i="3" l="1"/>
  <c r="F397" i="3"/>
  <c r="G397" i="3"/>
  <c r="V397" i="3" s="1"/>
  <c r="E398" i="3"/>
  <c r="D399" i="3"/>
  <c r="J399" i="3"/>
  <c r="H401" i="3"/>
  <c r="I400" i="3"/>
  <c r="K400" i="3" s="1"/>
  <c r="M398" i="3"/>
  <c r="T397" i="3"/>
  <c r="Z397" i="3"/>
  <c r="AA397" i="3" s="1"/>
  <c r="U397" i="3" l="1"/>
  <c r="F398" i="3"/>
  <c r="G398" i="3"/>
  <c r="V398" i="3" s="1"/>
  <c r="E399" i="3"/>
  <c r="D400" i="3"/>
  <c r="J400" i="3"/>
  <c r="H402" i="3"/>
  <c r="I401" i="3"/>
  <c r="K401" i="3" s="1"/>
  <c r="M399" i="3"/>
  <c r="Z398" i="3"/>
  <c r="AA398" i="3" s="1"/>
  <c r="T398" i="3"/>
  <c r="U398" i="3" s="1"/>
  <c r="F399" i="3" l="1"/>
  <c r="G399" i="3"/>
  <c r="V399" i="3" s="1"/>
  <c r="E400" i="3"/>
  <c r="D401" i="3"/>
  <c r="J401" i="3"/>
  <c r="H403" i="3"/>
  <c r="I402" i="3"/>
  <c r="K402" i="3" s="1"/>
  <c r="M400" i="3"/>
  <c r="Z399" i="3"/>
  <c r="AA399" i="3" s="1"/>
  <c r="T399" i="3"/>
  <c r="U399" i="3" s="1"/>
  <c r="F400" i="3" l="1"/>
  <c r="G400" i="3"/>
  <c r="V400" i="3" s="1"/>
  <c r="E401" i="3"/>
  <c r="D402" i="3"/>
  <c r="J402" i="3"/>
  <c r="H404" i="3"/>
  <c r="I403" i="3"/>
  <c r="K403" i="3" s="1"/>
  <c r="M401" i="3"/>
  <c r="Z400" i="3"/>
  <c r="AA400" i="3" s="1"/>
  <c r="T400" i="3"/>
  <c r="U400" i="3" s="1"/>
  <c r="F401" i="3" l="1"/>
  <c r="G401" i="3"/>
  <c r="V401" i="3" s="1"/>
  <c r="E402" i="3"/>
  <c r="D403" i="3"/>
  <c r="J403" i="3"/>
  <c r="H405" i="3"/>
  <c r="I404" i="3"/>
  <c r="K404" i="3" s="1"/>
  <c r="M402" i="3"/>
  <c r="Z401" i="3"/>
  <c r="AA401" i="3" s="1"/>
  <c r="T401" i="3"/>
  <c r="U401" i="3" s="1"/>
  <c r="F402" i="3" l="1"/>
  <c r="G402" i="3"/>
  <c r="V402" i="3" s="1"/>
  <c r="E403" i="3"/>
  <c r="D404" i="3"/>
  <c r="J404" i="3"/>
  <c r="H406" i="3"/>
  <c r="I405" i="3"/>
  <c r="K405" i="3" s="1"/>
  <c r="M403" i="3"/>
  <c r="Z402" i="3"/>
  <c r="AA402" i="3" s="1"/>
  <c r="T402" i="3"/>
  <c r="U402" i="3" s="1"/>
  <c r="F403" i="3" l="1"/>
  <c r="G403" i="3"/>
  <c r="V403" i="3" s="1"/>
  <c r="E404" i="3"/>
  <c r="D405" i="3"/>
  <c r="J405" i="3"/>
  <c r="H407" i="3"/>
  <c r="I406" i="3"/>
  <c r="K406" i="3" s="1"/>
  <c r="M404" i="3"/>
  <c r="Z403" i="3"/>
  <c r="AA403" i="3" s="1"/>
  <c r="T403" i="3"/>
  <c r="U403" i="3" s="1"/>
  <c r="F404" i="3" l="1"/>
  <c r="G404" i="3"/>
  <c r="V404" i="3" s="1"/>
  <c r="E405" i="3"/>
  <c r="D406" i="3"/>
  <c r="J406" i="3"/>
  <c r="H408" i="3"/>
  <c r="I407" i="3"/>
  <c r="K407" i="3" s="1"/>
  <c r="M405" i="3"/>
  <c r="Z404" i="3"/>
  <c r="AA404" i="3" s="1"/>
  <c r="T404" i="3"/>
  <c r="U404" i="3" s="1"/>
  <c r="F405" i="3" l="1"/>
  <c r="G405" i="3"/>
  <c r="V405" i="3" s="1"/>
  <c r="E406" i="3"/>
  <c r="D407" i="3"/>
  <c r="J407" i="3"/>
  <c r="H409" i="3"/>
  <c r="I408" i="3"/>
  <c r="K408" i="3" s="1"/>
  <c r="M406" i="3"/>
  <c r="Z405" i="3"/>
  <c r="AA405" i="3" s="1"/>
  <c r="T405" i="3"/>
  <c r="U405" i="3" s="1"/>
  <c r="F406" i="3" l="1"/>
  <c r="G406" i="3"/>
  <c r="V406" i="3" s="1"/>
  <c r="E407" i="3"/>
  <c r="D408" i="3"/>
  <c r="H410" i="3"/>
  <c r="I409" i="3"/>
  <c r="K409" i="3" s="1"/>
  <c r="J408" i="3"/>
  <c r="M407" i="3"/>
  <c r="Z406" i="3"/>
  <c r="AA406" i="3" s="1"/>
  <c r="T406" i="3"/>
  <c r="U406" i="3" s="1"/>
  <c r="F407" i="3" l="1"/>
  <c r="G407" i="3"/>
  <c r="V407" i="3" s="1"/>
  <c r="E408" i="3"/>
  <c r="D409" i="3"/>
  <c r="J409" i="3"/>
  <c r="H411" i="3"/>
  <c r="I410" i="3"/>
  <c r="K410" i="3" s="1"/>
  <c r="M408" i="3"/>
  <c r="Z407" i="3"/>
  <c r="AA407" i="3" s="1"/>
  <c r="T407" i="3"/>
  <c r="U407" i="3" s="1"/>
  <c r="F408" i="3" l="1"/>
  <c r="G408" i="3"/>
  <c r="V408" i="3" s="1"/>
  <c r="E409" i="3"/>
  <c r="D410" i="3"/>
  <c r="J410" i="3"/>
  <c r="H412" i="3"/>
  <c r="I411" i="3"/>
  <c r="K411" i="3" s="1"/>
  <c r="M409" i="3"/>
  <c r="Z408" i="3"/>
  <c r="AA408" i="3" s="1"/>
  <c r="T408" i="3"/>
  <c r="U408" i="3" s="1"/>
  <c r="F409" i="3" l="1"/>
  <c r="G409" i="3"/>
  <c r="V409" i="3" s="1"/>
  <c r="E410" i="3"/>
  <c r="D411" i="3"/>
  <c r="J411" i="3"/>
  <c r="H413" i="3"/>
  <c r="I412" i="3"/>
  <c r="K412" i="3" s="1"/>
  <c r="M410" i="3"/>
  <c r="T409" i="3"/>
  <c r="U409" i="3" s="1"/>
  <c r="Z409" i="3"/>
  <c r="AA409" i="3" s="1"/>
  <c r="F410" i="3" l="1"/>
  <c r="G410" i="3"/>
  <c r="V410" i="3" s="1"/>
  <c r="E411" i="3"/>
  <c r="D412" i="3"/>
  <c r="J412" i="3"/>
  <c r="H414" i="3"/>
  <c r="I413" i="3"/>
  <c r="K413" i="3" s="1"/>
  <c r="M411" i="3"/>
  <c r="Z410" i="3"/>
  <c r="AA410" i="3" s="1"/>
  <c r="T410" i="3"/>
  <c r="U410" i="3" s="1"/>
  <c r="F411" i="3" l="1"/>
  <c r="G411" i="3"/>
  <c r="V411" i="3" s="1"/>
  <c r="E412" i="3"/>
  <c r="D413" i="3"/>
  <c r="H415" i="3"/>
  <c r="I414" i="3"/>
  <c r="K414" i="3" s="1"/>
  <c r="J413" i="3"/>
  <c r="M412" i="3"/>
  <c r="Z411" i="3"/>
  <c r="AA411" i="3" s="1"/>
  <c r="T411" i="3"/>
  <c r="U411" i="3" s="1"/>
  <c r="F412" i="3" l="1"/>
  <c r="G412" i="3"/>
  <c r="V412" i="3" s="1"/>
  <c r="E413" i="3"/>
  <c r="D414" i="3"/>
  <c r="H416" i="3"/>
  <c r="I415" i="3"/>
  <c r="K415" i="3" s="1"/>
  <c r="J414" i="3"/>
  <c r="M413" i="3"/>
  <c r="Z412" i="3"/>
  <c r="AA412" i="3" s="1"/>
  <c r="T412" i="3"/>
  <c r="U412" i="3" s="1"/>
  <c r="F413" i="3" l="1"/>
  <c r="G413" i="3"/>
  <c r="V413" i="3" s="1"/>
  <c r="E414" i="3"/>
  <c r="D415" i="3"/>
  <c r="J415" i="3"/>
  <c r="H417" i="3"/>
  <c r="I416" i="3"/>
  <c r="K416" i="3" s="1"/>
  <c r="M414" i="3"/>
  <c r="T413" i="3"/>
  <c r="U413" i="3" s="1"/>
  <c r="Z413" i="3"/>
  <c r="AA413" i="3" s="1"/>
  <c r="F414" i="3" l="1"/>
  <c r="G414" i="3"/>
  <c r="V414" i="3" s="1"/>
  <c r="E415" i="3"/>
  <c r="D416" i="3"/>
  <c r="J416" i="3"/>
  <c r="H418" i="3"/>
  <c r="I417" i="3"/>
  <c r="K417" i="3" s="1"/>
  <c r="M415" i="3"/>
  <c r="Z414" i="3"/>
  <c r="AA414" i="3" s="1"/>
  <c r="T414" i="3"/>
  <c r="U414" i="3" s="1"/>
  <c r="F415" i="3" l="1"/>
  <c r="G415" i="3"/>
  <c r="V415" i="3" s="1"/>
  <c r="E416" i="3"/>
  <c r="D417" i="3"/>
  <c r="H419" i="3"/>
  <c r="I418" i="3"/>
  <c r="K418" i="3" s="1"/>
  <c r="J417" i="3"/>
  <c r="M416" i="3"/>
  <c r="Z415" i="3"/>
  <c r="AA415" i="3" s="1"/>
  <c r="T415" i="3"/>
  <c r="U415" i="3" s="1"/>
  <c r="F416" i="3" l="1"/>
  <c r="G416" i="3"/>
  <c r="E417" i="3"/>
  <c r="D418" i="3"/>
  <c r="H420" i="3"/>
  <c r="I419" i="3"/>
  <c r="K419" i="3" s="1"/>
  <c r="J418" i="3"/>
  <c r="M417" i="3"/>
  <c r="Z416" i="3"/>
  <c r="AA416" i="3" s="1"/>
  <c r="T416" i="3"/>
  <c r="U416" i="3" s="1"/>
  <c r="F417" i="3" l="1"/>
  <c r="G417" i="3"/>
  <c r="V417" i="3" s="1"/>
  <c r="E418" i="3"/>
  <c r="D419" i="3"/>
  <c r="J419" i="3"/>
  <c r="H421" i="3"/>
  <c r="I420" i="3"/>
  <c r="K420" i="3" s="1"/>
  <c r="M418" i="3"/>
  <c r="Z417" i="3"/>
  <c r="AA417" i="3" s="1"/>
  <c r="T417" i="3"/>
  <c r="U417" i="3" s="1"/>
  <c r="F418" i="3" l="1"/>
  <c r="G418" i="3"/>
  <c r="V418" i="3" s="1"/>
  <c r="E419" i="3"/>
  <c r="D420" i="3"/>
  <c r="H422" i="3"/>
  <c r="I421" i="3"/>
  <c r="K421" i="3" s="1"/>
  <c r="J420" i="3"/>
  <c r="M419" i="3"/>
  <c r="Z418" i="3"/>
  <c r="AA418" i="3" s="1"/>
  <c r="T418" i="3"/>
  <c r="U418" i="3" s="1"/>
  <c r="F419" i="3" l="1"/>
  <c r="G419" i="3"/>
  <c r="V419" i="3" s="1"/>
  <c r="E420" i="3"/>
  <c r="D421" i="3"/>
  <c r="H423" i="3"/>
  <c r="I422" i="3"/>
  <c r="K422" i="3" s="1"/>
  <c r="J421" i="3"/>
  <c r="M420" i="3"/>
  <c r="Z419" i="3"/>
  <c r="AA419" i="3" s="1"/>
  <c r="T419" i="3"/>
  <c r="U419" i="3" s="1"/>
  <c r="F420" i="3" l="1"/>
  <c r="G420" i="3"/>
  <c r="V420" i="3" s="1"/>
  <c r="E421" i="3"/>
  <c r="D422" i="3"/>
  <c r="J422" i="3"/>
  <c r="H424" i="3"/>
  <c r="I423" i="3"/>
  <c r="K423" i="3" s="1"/>
  <c r="M421" i="3"/>
  <c r="Z420" i="3"/>
  <c r="AA420" i="3" s="1"/>
  <c r="T420" i="3"/>
  <c r="U420" i="3" s="1"/>
  <c r="F421" i="3" l="1"/>
  <c r="G421" i="3"/>
  <c r="V421" i="3" s="1"/>
  <c r="E422" i="3"/>
  <c r="D423" i="3"/>
  <c r="J423" i="3"/>
  <c r="H425" i="3"/>
  <c r="I424" i="3"/>
  <c r="K424" i="3" s="1"/>
  <c r="M422" i="3"/>
  <c r="Z421" i="3"/>
  <c r="AA421" i="3" s="1"/>
  <c r="T421" i="3"/>
  <c r="U421" i="3" s="1"/>
  <c r="F422" i="3" l="1"/>
  <c r="G422" i="3"/>
  <c r="V422" i="3" s="1"/>
  <c r="E423" i="3"/>
  <c r="D424" i="3"/>
  <c r="H426" i="3"/>
  <c r="I425" i="3"/>
  <c r="K425" i="3" s="1"/>
  <c r="J424" i="3"/>
  <c r="M423" i="3"/>
  <c r="Z422" i="3"/>
  <c r="AA422" i="3" s="1"/>
  <c r="T422" i="3"/>
  <c r="U422" i="3" s="1"/>
  <c r="F423" i="3" l="1"/>
  <c r="G423" i="3"/>
  <c r="V423" i="3" s="1"/>
  <c r="E424" i="3"/>
  <c r="D425" i="3"/>
  <c r="H427" i="3"/>
  <c r="I426" i="3"/>
  <c r="K426" i="3" s="1"/>
  <c r="J425" i="3"/>
  <c r="M424" i="3"/>
  <c r="Z423" i="3"/>
  <c r="AA423" i="3" s="1"/>
  <c r="T423" i="3"/>
  <c r="U423" i="3" s="1"/>
  <c r="F424" i="3" l="1"/>
  <c r="G424" i="3"/>
  <c r="V424" i="3" s="1"/>
  <c r="E425" i="3"/>
  <c r="D426" i="3"/>
  <c r="J426" i="3"/>
  <c r="H428" i="3"/>
  <c r="I427" i="3"/>
  <c r="K427" i="3" s="1"/>
  <c r="M425" i="3"/>
  <c r="Z424" i="3"/>
  <c r="AA424" i="3" s="1"/>
  <c r="T424" i="3"/>
  <c r="U424" i="3" s="1"/>
  <c r="F425" i="3" l="1"/>
  <c r="G425" i="3"/>
  <c r="V425" i="3" s="1"/>
  <c r="E426" i="3"/>
  <c r="D427" i="3"/>
  <c r="J427" i="3"/>
  <c r="H429" i="3"/>
  <c r="I428" i="3"/>
  <c r="K428" i="3" s="1"/>
  <c r="M426" i="3"/>
  <c r="T425" i="3"/>
  <c r="U425" i="3" s="1"/>
  <c r="Z425" i="3"/>
  <c r="AA425" i="3" s="1"/>
  <c r="F426" i="3" l="1"/>
  <c r="G426" i="3"/>
  <c r="V426" i="3" s="1"/>
  <c r="E427" i="3"/>
  <c r="D428" i="3"/>
  <c r="H430" i="3"/>
  <c r="I429" i="3"/>
  <c r="K429" i="3" s="1"/>
  <c r="J428" i="3"/>
  <c r="M427" i="3"/>
  <c r="Z426" i="3"/>
  <c r="AA426" i="3" s="1"/>
  <c r="T426" i="3"/>
  <c r="U426" i="3" s="1"/>
  <c r="F427" i="3" l="1"/>
  <c r="G427" i="3"/>
  <c r="V427" i="3" s="1"/>
  <c r="E428" i="3"/>
  <c r="D429" i="3"/>
  <c r="H431" i="3"/>
  <c r="I430" i="3"/>
  <c r="K430" i="3" s="1"/>
  <c r="J429" i="3"/>
  <c r="M428" i="3"/>
  <c r="Z427" i="3"/>
  <c r="AA427" i="3" s="1"/>
  <c r="T427" i="3"/>
  <c r="U427" i="3" s="1"/>
  <c r="F428" i="3" l="1"/>
  <c r="G428" i="3"/>
  <c r="V428" i="3" s="1"/>
  <c r="E429" i="3"/>
  <c r="D430" i="3"/>
  <c r="J430" i="3"/>
  <c r="H432" i="3"/>
  <c r="I431" i="3"/>
  <c r="K431" i="3" s="1"/>
  <c r="M429" i="3"/>
  <c r="Z428" i="3"/>
  <c r="AA428" i="3" s="1"/>
  <c r="T428" i="3"/>
  <c r="U428" i="3" s="1"/>
  <c r="F429" i="3" l="1"/>
  <c r="G429" i="3"/>
  <c r="V429" i="3" s="1"/>
  <c r="E430" i="3"/>
  <c r="D431" i="3"/>
  <c r="J431" i="3"/>
  <c r="H433" i="3"/>
  <c r="I432" i="3"/>
  <c r="K432" i="3" s="1"/>
  <c r="M430" i="3"/>
  <c r="T429" i="3"/>
  <c r="U429" i="3" s="1"/>
  <c r="Z429" i="3"/>
  <c r="AA429" i="3" s="1"/>
  <c r="F430" i="3" l="1"/>
  <c r="G430" i="3"/>
  <c r="V430" i="3" s="1"/>
  <c r="E431" i="3"/>
  <c r="D432" i="3"/>
  <c r="J432" i="3"/>
  <c r="H434" i="3"/>
  <c r="I433" i="3"/>
  <c r="K433" i="3" s="1"/>
  <c r="M431" i="3"/>
  <c r="Z430" i="3"/>
  <c r="AA430" i="3" s="1"/>
  <c r="T430" i="3"/>
  <c r="U430" i="3" s="1"/>
  <c r="F431" i="3" l="1"/>
  <c r="G431" i="3"/>
  <c r="V431" i="3" s="1"/>
  <c r="E432" i="3"/>
  <c r="D433" i="3"/>
  <c r="J433" i="3"/>
  <c r="H435" i="3"/>
  <c r="I435" i="3" s="1"/>
  <c r="K435" i="3" s="1"/>
  <c r="I434" i="3"/>
  <c r="K434" i="3" s="1"/>
  <c r="M432" i="3"/>
  <c r="Z431" i="3"/>
  <c r="AA431" i="3" s="1"/>
  <c r="T431" i="3"/>
  <c r="U431" i="3" s="1"/>
  <c r="F432" i="3" l="1"/>
  <c r="G432" i="3"/>
  <c r="V432" i="3" s="1"/>
  <c r="E433" i="3"/>
  <c r="J434" i="3"/>
  <c r="J435" i="3" s="1"/>
  <c r="D434" i="3"/>
  <c r="M433" i="3"/>
  <c r="Z432" i="3"/>
  <c r="AA432" i="3" s="1"/>
  <c r="T432" i="3"/>
  <c r="U432" i="3" s="1"/>
  <c r="F433" i="3" l="1"/>
  <c r="G433" i="3"/>
  <c r="V433" i="3" s="1"/>
  <c r="K385" i="3"/>
  <c r="K14" i="3" s="1"/>
  <c r="K20" i="3"/>
  <c r="E434" i="3"/>
  <c r="D435" i="3"/>
  <c r="E435" i="3" s="1"/>
  <c r="G435" i="3" s="1"/>
  <c r="M434" i="3"/>
  <c r="Z433" i="3"/>
  <c r="AA433" i="3" s="1"/>
  <c r="T433" i="3"/>
  <c r="U433" i="3" s="1"/>
  <c r="V435" i="3" l="1"/>
  <c r="F434" i="3"/>
  <c r="F435" i="3" s="1"/>
  <c r="G434" i="3"/>
  <c r="V434" i="3" s="1"/>
  <c r="M435" i="3"/>
  <c r="T435" i="3" s="1"/>
  <c r="Z434" i="3"/>
  <c r="AA434" i="3" s="1"/>
  <c r="T434" i="3"/>
  <c r="U434" i="3" s="1"/>
  <c r="T14" i="3" l="1"/>
  <c r="G20" i="3"/>
  <c r="V20" i="3" s="1"/>
  <c r="G110" i="3"/>
  <c r="G201" i="3"/>
  <c r="G293" i="3"/>
  <c r="G385" i="3"/>
  <c r="G14" i="3" s="1"/>
  <c r="Z435" i="3"/>
  <c r="C110" i="3" l="1"/>
  <c r="V110" i="3" s="1"/>
  <c r="C140" i="3"/>
  <c r="V140" i="3" s="1"/>
  <c r="C171" i="3"/>
  <c r="V171" i="3" s="1"/>
  <c r="C201" i="3"/>
  <c r="V201" i="3" s="1"/>
  <c r="C232" i="3"/>
  <c r="V232" i="3" s="1"/>
  <c r="C263" i="3"/>
  <c r="V263" i="3" s="1"/>
  <c r="C293" i="3"/>
  <c r="V293" i="3" s="1"/>
  <c r="C324" i="3"/>
  <c r="V324" i="3" s="1"/>
  <c r="C354" i="3"/>
  <c r="V354" i="3" s="1"/>
  <c r="C385" i="3"/>
  <c r="V385" i="3" s="1"/>
  <c r="C416" i="3"/>
  <c r="V416" i="3" s="1"/>
  <c r="AA435" i="3"/>
  <c r="Z14" i="3"/>
  <c r="U435" i="3"/>
  <c r="V14" i="3" l="1"/>
  <c r="C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Potter, Lizbeth</author>
  </authors>
  <commentList>
    <comment ref="T1" authorId="0" shapeId="0" xr:uid="{A3F40106-7C23-47E5-9D61-1E9C4DB09B78}">
      <text>
        <r>
          <rPr>
            <sz val="9"/>
            <color indexed="81"/>
            <rFont val="Tahoma"/>
            <family val="2"/>
          </rPr>
          <t xml:space="preserve">Daily, Monthly, or Quarterly Accrued Interest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Landi, Paul</author>
    <author>Potter, Lizbeth</author>
  </authors>
  <commentList>
    <comment ref="N4" authorId="0" shapeId="0" xr:uid="{53FEAE99-098A-4B1C-9AD4-1BC16733198C}">
      <text>
        <r>
          <rPr>
            <b/>
            <sz val="9"/>
            <color indexed="81"/>
            <rFont val="Tahoma"/>
            <family val="2"/>
          </rPr>
          <t>Landi, Paul:</t>
        </r>
        <r>
          <rPr>
            <sz val="9"/>
            <color indexed="81"/>
            <rFont val="Tahoma"/>
            <family val="2"/>
          </rPr>
          <t xml:space="preserve">
Link a list to the entities driver report for LE, Deal, IS</t>
        </r>
      </text>
    </comment>
    <comment ref="U4" authorId="0" shapeId="0" xr:uid="{A8C9884B-B8C5-4068-9B7B-CBF0505EB29D}">
      <text>
        <r>
          <rPr>
            <b/>
            <sz val="9"/>
            <color indexed="81"/>
            <rFont val="Tahoma"/>
            <family val="2"/>
          </rPr>
          <t>Landi, Paul:</t>
        </r>
        <r>
          <rPr>
            <sz val="9"/>
            <color indexed="81"/>
            <rFont val="Tahoma"/>
            <family val="2"/>
          </rPr>
          <t xml:space="preserve">
Amount taken from the </t>
        </r>
        <r>
          <rPr>
            <b/>
            <sz val="9"/>
            <color indexed="81"/>
            <rFont val="Tahoma"/>
            <family val="2"/>
          </rPr>
          <t>face value</t>
        </r>
        <r>
          <rPr>
            <sz val="9"/>
            <color indexed="81"/>
            <rFont val="Tahoma"/>
            <family val="2"/>
          </rPr>
          <t xml:space="preserve"> field in the Income Security general panel. This amount is used as an informational amount as the "</t>
        </r>
        <r>
          <rPr>
            <u/>
            <sz val="9"/>
            <color indexed="81"/>
            <rFont val="Tahoma"/>
            <family val="2"/>
          </rPr>
          <t>loan balance</t>
        </r>
        <r>
          <rPr>
            <sz val="9"/>
            <color indexed="81"/>
            <rFont val="Tahoma"/>
            <family val="2"/>
          </rPr>
          <t>" column in the accrual calc section will drive the amounts for interest</t>
        </r>
      </text>
    </comment>
    <comment ref="AA4" authorId="0" shapeId="0" xr:uid="{8FDB0964-F8AF-4394-9702-536E43732860}">
      <text>
        <r>
          <rPr>
            <b/>
            <sz val="9"/>
            <color indexed="81"/>
            <rFont val="Tahoma"/>
            <family val="2"/>
          </rPr>
          <t>Landi, Paul:</t>
        </r>
        <r>
          <rPr>
            <sz val="9"/>
            <color indexed="81"/>
            <rFont val="Tahoma"/>
            <family val="2"/>
          </rPr>
          <t xml:space="preserve">
Variable or Fixed radio buttons in the system. This most likely will only be pulled to this field as information purposes as the inclusion of Floating and Coupon Rate values will drive our "</t>
        </r>
        <r>
          <rPr>
            <u/>
            <sz val="9"/>
            <color indexed="81"/>
            <rFont val="Tahoma"/>
            <family val="2"/>
          </rPr>
          <t>Current Interest Rate</t>
        </r>
        <r>
          <rPr>
            <sz val="9"/>
            <color indexed="81"/>
            <rFont val="Tahoma"/>
            <family val="2"/>
          </rPr>
          <t>" column</t>
        </r>
      </text>
    </comment>
    <comment ref="U5" authorId="0" shapeId="0" xr:uid="{8BE61359-D421-4FF1-9216-8E94F6307BB1}">
      <text>
        <r>
          <rPr>
            <b/>
            <sz val="9"/>
            <color indexed="81"/>
            <rFont val="Tahoma"/>
            <family val="2"/>
          </rPr>
          <t>Landi, Paul:</t>
        </r>
        <r>
          <rPr>
            <sz val="9"/>
            <color indexed="81"/>
            <rFont val="Tahoma"/>
            <family val="2"/>
          </rPr>
          <t xml:space="preserve">
The income security panel will be populated with the date when the accrual schedule will need to commence</t>
        </r>
      </text>
    </comment>
    <comment ref="AA5" authorId="0" shapeId="0" xr:uid="{7FB875C1-597C-4703-AB95-A7C359E436A9}">
      <text>
        <r>
          <rPr>
            <b/>
            <sz val="9"/>
            <color indexed="81"/>
            <rFont val="Tahoma"/>
            <family val="2"/>
          </rPr>
          <t>Landi, Paul:</t>
        </r>
        <r>
          <rPr>
            <sz val="9"/>
            <color indexed="81"/>
            <rFont val="Tahoma"/>
            <family val="2"/>
          </rPr>
          <t xml:space="preserve">
Using the combination of effective date and rate within the Coupin Rate History section on the Interest terms of Income Security, publish the LAST rate effective nearest the accrual end date selected by the user. Column E "Coupon Rate" in the accrual calculation section below will be displayed daily, therefore making this section more informational. The calculations will be executed row by row with the effective date and rate being driven from the actuals in the driver </t>
        </r>
      </text>
    </comment>
    <comment ref="U6" authorId="0" shapeId="0" xr:uid="{791C0EAC-F852-4AD9-9B82-F91757B39DB8}">
      <text>
        <r>
          <rPr>
            <b/>
            <sz val="9"/>
            <color indexed="81"/>
            <rFont val="Tahoma"/>
            <family val="2"/>
          </rPr>
          <t>Landi, Paul:</t>
        </r>
        <r>
          <rPr>
            <sz val="9"/>
            <color indexed="81"/>
            <rFont val="Tahoma"/>
            <family val="2"/>
          </rPr>
          <t xml:space="preserve">
The user will populate this field in the Income security with the date the final principal payment is to be made </t>
        </r>
      </text>
    </comment>
    <comment ref="AA6" authorId="0" shapeId="0" xr:uid="{DAEFEAC6-EA41-43A4-AF97-E9BE8B37166E}">
      <text>
        <r>
          <rPr>
            <b/>
            <sz val="9"/>
            <color indexed="81"/>
            <rFont val="Tahoma"/>
            <family val="2"/>
          </rPr>
          <t>Landi, Paul:</t>
        </r>
        <r>
          <rPr>
            <sz val="9"/>
            <color indexed="81"/>
            <rFont val="Tahoma"/>
            <family val="2"/>
          </rPr>
          <t xml:space="preserve">
Using the combination of effective date and rate within the Variable Rate History section on the Interest terms of Income Security, publish the LAST rate effective nearest the accrual end date selected by the user. Column F "Floating Rate" in the accrual calculation section below will be displayed daily, therefore making this section more informational. The calculations will be executed row by row with the effective date and rate being driven from the actuals in the driver </t>
        </r>
      </text>
    </comment>
    <comment ref="U7" authorId="0" shapeId="0" xr:uid="{CCCFBE7B-031F-4DB9-AE32-19E6EF03D90F}">
      <text>
        <r>
          <rPr>
            <b/>
            <sz val="9"/>
            <color indexed="81"/>
            <rFont val="Tahoma"/>
            <family val="2"/>
          </rPr>
          <t xml:space="preserve">Landi, Paul:
</t>
        </r>
        <r>
          <rPr>
            <sz val="9"/>
            <color indexed="81"/>
            <rFont val="Tahoma"/>
            <family val="2"/>
          </rPr>
          <t>This field will assist the formula for how cash and PIK accruals day counts are handled</t>
        </r>
      </text>
    </comment>
    <comment ref="AA7" authorId="0" shapeId="0" xr:uid="{3097F413-3FB9-4573-9249-D3AC5FED872E}">
      <text>
        <r>
          <rPr>
            <b/>
            <sz val="9"/>
            <color indexed="81"/>
            <rFont val="Tahoma"/>
            <family val="2"/>
          </rPr>
          <t>Landi, Paul:</t>
        </r>
        <r>
          <rPr>
            <sz val="9"/>
            <color indexed="81"/>
            <rFont val="Tahoma"/>
            <family val="2"/>
          </rPr>
          <t xml:space="preserve">
Using the combination of effective date and rate within the Day Basis History section on the Interest terms of Income Security, publish the LAST terms of the day basis nearest the accrual end date selected by the user. Column H "Daily Accrued Interest" in the accrual calculation section below will utilize the actual day basis therefore making this section more informational. The calculations will be executed row by row with the effective date and day basis being driven from the actuals in the driver </t>
        </r>
      </text>
    </comment>
    <comment ref="U8" authorId="0" shapeId="0" xr:uid="{1827E40E-E03C-4A21-876A-39258EB8F2B9}">
      <text>
        <r>
          <rPr>
            <b/>
            <sz val="9"/>
            <color indexed="81"/>
            <rFont val="Tahoma"/>
            <family val="2"/>
          </rPr>
          <t>Landi, Paul:</t>
        </r>
        <r>
          <rPr>
            <sz val="9"/>
            <color indexed="81"/>
            <rFont val="Tahoma"/>
            <family val="2"/>
          </rPr>
          <t xml:space="preserve">
Used for denoting when the paydown is recognized related to the interest accruals </t>
        </r>
      </text>
    </comment>
    <comment ref="AA8" authorId="0" shapeId="0" xr:uid="{01EB2E44-193C-43CB-9077-022E082F11E0}">
      <text>
        <r>
          <rPr>
            <b/>
            <sz val="9"/>
            <color indexed="81"/>
            <rFont val="Tahoma"/>
            <family val="2"/>
          </rPr>
          <t>Landi, Paul:</t>
        </r>
        <r>
          <rPr>
            <sz val="9"/>
            <color indexed="81"/>
            <rFont val="Tahoma"/>
            <family val="2"/>
          </rPr>
          <t xml:space="preserve">
From the interest terms section of the income security, this checkbox field will be used to trigger the securities with PIK terms</t>
        </r>
      </text>
    </comment>
    <comment ref="U9" authorId="0" shapeId="0" xr:uid="{68BB132C-6005-4922-B4E0-6D88D6C2D7B7}">
      <text>
        <r>
          <rPr>
            <b/>
            <sz val="9"/>
            <color indexed="81"/>
            <rFont val="Tahoma"/>
            <family val="2"/>
          </rPr>
          <t>Landi, Paul:</t>
        </r>
        <r>
          <rPr>
            <sz val="9"/>
            <color indexed="81"/>
            <rFont val="Tahoma"/>
            <family val="2"/>
          </rPr>
          <t xml:space="preserve">
Used for denoting daycounts used related to the interest accruals </t>
        </r>
      </text>
    </comment>
    <comment ref="AA9" authorId="0" shapeId="0" xr:uid="{A3A70D10-7776-4E6F-96ED-65302293E5AB}">
      <text>
        <r>
          <rPr>
            <b/>
            <sz val="9"/>
            <color indexed="81"/>
            <rFont val="Tahoma"/>
            <family val="2"/>
          </rPr>
          <t>Landi, Paul:</t>
        </r>
        <r>
          <rPr>
            <sz val="9"/>
            <color indexed="81"/>
            <rFont val="Tahoma"/>
            <family val="2"/>
          </rPr>
          <t xml:space="preserve">
From the Schedule tab within the income security, the latest PIK capitalization date closest to the accrual end date (but not after); this field is mostly informational in this section, but each actual capitalization date will be utiliozed from the same schedule in the calculation section below
</t>
        </r>
      </text>
    </comment>
    <comment ref="N10" authorId="0" shapeId="0" xr:uid="{B62AE156-85C7-40D0-A782-C355D35D32AB}">
      <text>
        <r>
          <rPr>
            <b/>
            <sz val="9"/>
            <color indexed="81"/>
            <rFont val="Tahoma"/>
            <family val="2"/>
          </rPr>
          <t>Landi, Paul:</t>
        </r>
        <r>
          <rPr>
            <sz val="9"/>
            <color indexed="81"/>
            <rFont val="Tahoma"/>
            <family val="2"/>
          </rPr>
          <t xml:space="preserve">
The user will enter the accrual beginning and ending dates in these cells. This will drive the date up until we use the historical debits and credits returned from Investran; as well as drive how we calculate the amounts to be shown at the top of the columns to pull to a driver report. </t>
        </r>
      </text>
    </comment>
    <comment ref="U10" authorId="0" shapeId="0" xr:uid="{5890F9B2-385D-48AA-8757-74EEBDCFACBF}">
      <text>
        <r>
          <rPr>
            <b/>
            <sz val="9"/>
            <color indexed="81"/>
            <rFont val="Tahoma"/>
            <family val="2"/>
          </rPr>
          <t>Landi, Paul:</t>
        </r>
        <r>
          <rPr>
            <sz val="9"/>
            <color indexed="81"/>
            <rFont val="Tahoma"/>
            <family val="2"/>
          </rPr>
          <t xml:space="preserve">
Options for "At maturity" or "Scheduled" will allow for this tool to know whether or not to look at the payment schedule on the income security for payment items that are after the accrual end date. The actual cash payments will be taken to the principal paydown column D up until the accrual period given by the user - then schedules will forecast the future </t>
        </r>
      </text>
    </comment>
    <comment ref="AA10" authorId="0" shapeId="0" xr:uid="{A767CC72-23B8-47E4-AB99-46915D99C4C1}">
      <text>
        <r>
          <rPr>
            <b/>
            <sz val="9"/>
            <color indexed="81"/>
            <rFont val="Tahoma"/>
            <family val="2"/>
          </rPr>
          <t>Landi, Paul:</t>
        </r>
        <r>
          <rPr>
            <sz val="9"/>
            <color indexed="81"/>
            <rFont val="Tahoma"/>
            <family val="2"/>
          </rPr>
          <t xml:space="preserve">
Using the combination of effective date and rate within the PIK Terms section on the Interest terms of Income Security, publish the LAST rate effective nearest the accrual end date selected by the user. Column K "PIK Interest Rate" in the accrual calculation section below will be displayed daily, therefore making this section more informational. The calculations will be executed row by row with the effective date and rate being driven from the actuals in the driver </t>
        </r>
      </text>
    </comment>
    <comment ref="W18" authorId="1" shapeId="0" xr:uid="{A7006B47-7386-4449-B9D9-B6911E62A3F1}">
      <text>
        <r>
          <rPr>
            <sz val="9"/>
            <color indexed="81"/>
            <rFont val="Tahoma"/>
            <family val="2"/>
          </rPr>
          <t>This item added to be utilized as a bucket for manual adjustments that clients will make to the output of Cash interest amounts</t>
        </r>
      </text>
    </comment>
    <comment ref="AB18" authorId="1" shapeId="0" xr:uid="{D83DD0E0-0325-4A51-BBB9-CCEC20D5B465}">
      <text>
        <r>
          <rPr>
            <sz val="9"/>
            <color indexed="81"/>
            <rFont val="Tahoma"/>
            <family val="2"/>
          </rPr>
          <t>This item added to be utilized as a bucket for manual adjustments that clients will make to the output of PIK interests</t>
        </r>
      </text>
    </comment>
  </commentList>
</comments>
</file>

<file path=xl/sharedStrings.xml><?xml version="1.0" encoding="utf-8"?>
<sst xmlns="http://schemas.openxmlformats.org/spreadsheetml/2006/main" count="205" uniqueCount="96">
  <si>
    <t>Legal Entity</t>
  </si>
  <si>
    <t>LEID</t>
  </si>
  <si>
    <t>Batch ID</t>
  </si>
  <si>
    <t>JE Index</t>
  </si>
  <si>
    <t>Transaction Index</t>
  </si>
  <si>
    <t>GL Date</t>
  </si>
  <si>
    <t>Effective Date</t>
  </si>
  <si>
    <t>Deal</t>
  </si>
  <si>
    <t>Position</t>
  </si>
  <si>
    <t>Income Security</t>
  </si>
  <si>
    <t>Transaction Type</t>
  </si>
  <si>
    <t>Account</t>
  </si>
  <si>
    <t>Allocation Rule</t>
  </si>
  <si>
    <t>Batch Type</t>
  </si>
  <si>
    <t>Batch Comments</t>
  </si>
  <si>
    <t>Transaction Comments</t>
  </si>
  <si>
    <t>xLC Original Amount</t>
  </si>
  <si>
    <t>Amount (LE)</t>
  </si>
  <si>
    <t>Transaction FX</t>
  </si>
  <si>
    <t>Amount (Local)</t>
  </si>
  <si>
    <t>Is Debit?</t>
  </si>
  <si>
    <t>Legal Entity Domain</t>
  </si>
  <si>
    <t>xxx</t>
  </si>
  <si>
    <t>FIS Capital Partners I</t>
  </si>
  <si>
    <t>Alliance Manufacturing</t>
  </si>
  <si>
    <t>Alliance Manufacturing (Convertible Note)</t>
  </si>
  <si>
    <t>Interest Receivable</t>
  </si>
  <si>
    <t>By Commitment and GL Date</t>
  </si>
  <si>
    <t>Loan Calculator</t>
  </si>
  <si>
    <t>Loan Calculator Entries from 1/1/2020 to 3/5/2020</t>
  </si>
  <si>
    <t>Interest Adjustment for 3/5/2020</t>
  </si>
  <si>
    <t>Investran Global</t>
  </si>
  <si>
    <t>Income - Daily Accrued Interest</t>
  </si>
  <si>
    <t>Non-Dominant</t>
  </si>
  <si>
    <t>PIK Investment</t>
  </si>
  <si>
    <t>Interest Adj Non-Dom TransType</t>
  </si>
  <si>
    <t>Interest Adjustment for 1/2/2020</t>
  </si>
  <si>
    <t>Interest Adjustments</t>
  </si>
  <si>
    <t>Interest Adjustment for 1/3/2020</t>
  </si>
  <si>
    <t>PIK Adj Non-Dom TransType</t>
  </si>
  <si>
    <t>Interest Adjustment for 1/6/2020</t>
  </si>
  <si>
    <t>PIK Interest Adjustments</t>
  </si>
  <si>
    <t>This is just to show the calculations. These columns will be hidden</t>
  </si>
  <si>
    <t>Daily Loan Principal &amp; Interest Calculation Spreadsheet</t>
  </si>
  <si>
    <t>Demo Dataset</t>
  </si>
  <si>
    <t>Security Input Parameters:</t>
  </si>
  <si>
    <t>Loan Information:</t>
  </si>
  <si>
    <t>Current Interest Terms:</t>
  </si>
  <si>
    <t>Face Value</t>
  </si>
  <si>
    <t>Coupon Type</t>
  </si>
  <si>
    <t>Fixed</t>
  </si>
  <si>
    <t>Settlement Date</t>
  </si>
  <si>
    <t>Coupon Rate</t>
  </si>
  <si>
    <t>Maturity Date</t>
  </si>
  <si>
    <t>Floating Rate</t>
  </si>
  <si>
    <t>Accrual Day Count Exclusive?</t>
  </si>
  <si>
    <t>Day Basis</t>
  </si>
  <si>
    <t>30/360</t>
  </si>
  <si>
    <t>Accrual Date Input Parameters:</t>
  </si>
  <si>
    <t>Paydate Day Count Inclusive?</t>
  </si>
  <si>
    <t>PIK Enabled?</t>
  </si>
  <si>
    <t>Accrual Begin Date</t>
  </si>
  <si>
    <t>Interest Previous Day?</t>
  </si>
  <si>
    <t>Last PIK Capitalization Date</t>
  </si>
  <si>
    <t>Accrual End Date</t>
  </si>
  <si>
    <t>Principal Repayment</t>
  </si>
  <si>
    <t>At Maturity</t>
  </si>
  <si>
    <t>PIK Rate</t>
  </si>
  <si>
    <t>Last Accrual End Date</t>
  </si>
  <si>
    <t>Capitalization Frequency</t>
  </si>
  <si>
    <t>Monthly</t>
  </si>
  <si>
    <t>Loan Calculator Income Schedule:</t>
  </si>
  <si>
    <t>Accrual Period Amounts:</t>
  </si>
  <si>
    <t>Debit</t>
  </si>
  <si>
    <t>Investments Cost</t>
  </si>
  <si>
    <t>Capitalization</t>
  </si>
  <si>
    <t>Credit</t>
  </si>
  <si>
    <t>Accrued Interest</t>
  </si>
  <si>
    <t>#3</t>
  </si>
  <si>
    <t>Quarterly</t>
  </si>
  <si>
    <t>Yearly</t>
  </si>
  <si>
    <t>Date</t>
  </si>
  <si>
    <t>Loan Balance</t>
  </si>
  <si>
    <t>Initial Purchase</t>
  </si>
  <si>
    <t>Principal draws</t>
  </si>
  <si>
    <t>Principal paydown</t>
  </si>
  <si>
    <t>Current Interest Rate</t>
  </si>
  <si>
    <t>Daily Accrued Interest</t>
  </si>
  <si>
    <t>Cumulative Interest Accrued</t>
  </si>
  <si>
    <t>Capitalized
Interest</t>
  </si>
  <si>
    <t>Cash Interest Payment</t>
  </si>
  <si>
    <t>PIK Interest Rate</t>
  </si>
  <si>
    <t>Daily Accrued PIK Interest</t>
  </si>
  <si>
    <t>Cumulative PIK Interest Accrued</t>
  </si>
  <si>
    <t>PIK Paydown</t>
  </si>
  <si>
    <t>Last Accrual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</si>
</sst>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9"/>
      <color indexed="81"/>
      <name val="Tahoma"/>
      <family val="2"/>
    </font>
    <font>
      <b/>
      <sz val="14"/>
      <name val="Calibri"/>
      <family val="2"/>
      <scheme val="minor"/>
    </font>
    <font>
      <sz val="11"/>
      <name val="Calibri"/>
      <family val="2"/>
      <scheme val="minor"/>
    </font>
    <font>
      <b/>
      <u/>
      <sz val="12"/>
      <name val="Calibri"/>
      <family val="2"/>
      <scheme val="minor"/>
    </font>
    <font>
      <b/>
      <u/>
      <sz val="11"/>
      <name val="Calibri"/>
      <family val="2"/>
      <scheme val="minor"/>
    </font>
    <font>
      <b/>
      <sz val="12"/>
      <name val="Calibri"/>
      <family val="2"/>
      <scheme val="minor"/>
    </font>
    <font>
      <sz val="8"/>
      <name val="Calibri"/>
      <family val="2"/>
      <scheme val="minor"/>
    </font>
    <font>
      <b/>
      <sz val="11"/>
      <name val="Calibri"/>
      <family val="2"/>
      <scheme val="minor"/>
    </font>
    <font>
      <b/>
      <sz val="9"/>
      <color indexed="81"/>
      <name val="Tahoma"/>
      <family val="2"/>
    </font>
    <font>
      <u/>
      <sz val="9"/>
      <color indexed="81"/>
      <name val="Tahoma"/>
      <family val="2"/>
    </font>
    <font>
      <sz val="11"/>
      <color rgb="FFFF0000"/>
      <name val="Calibri"/>
      <family val="2"/>
      <scheme val="minor"/>
    </font>
    <font>
      <sz val="8"/>
      <color theme="1"/>
      <name val="Calibri"/>
      <family val="2"/>
      <scheme val="minor"/>
    </font>
    <font>
      <sz val="10"/>
      <name val="Calibri"/>
      <family val="2"/>
      <scheme val="minor"/>
    </font>
    <font>
      <sz val="10"/>
      <color theme="1"/>
      <name val="Calibri"/>
      <family val="2"/>
      <scheme val="minor"/>
    </font>
    <font>
      <sz val="12"/>
      <name val="Calibri"/>
      <family val="2"/>
      <scheme val="minor"/>
    </font>
  </fonts>
  <fills count="19">
    <fill>
      <patternFill patternType="none"/>
    </fill>
    <fill>
      <patternFill patternType="gray125"/>
    </fill>
    <fill>
      <patternFill patternType="solid">
        <fgColor rgb="FFC6EFCE"/>
      </patternFill>
    </fill>
    <fill>
      <patternFill patternType="solid">
        <fgColor theme="9"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CCFFCC"/>
        <bgColor indexed="64"/>
      </patternFill>
    </fill>
    <fill>
      <patternFill patternType="solid">
        <fgColor theme="7" tint="0.59999389629810485"/>
        <bgColor indexed="6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rgb="FFFFCCFF"/>
        <bgColor indexed="64"/>
      </patternFill>
    </fill>
    <fill>
      <patternFill patternType="solid">
        <fgColor rgb="FFFFFFCC"/>
      </patternFill>
    </fill>
    <fill>
      <patternFill patternType="solid">
        <fgColor theme="7"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thin">
        <color rgb="FF7F7F7F"/>
      </bottom>
      <diagonal/>
    </border>
    <border>
      <left/>
      <right style="thin">
        <color indexed="64"/>
      </right>
      <top/>
      <bottom style="thin">
        <color rgb="FF7F7F7F"/>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s>
  <cellStyleXfs count="11">
    <xf numFmtId="0" fontId="0" fillId="0" borderId="0"/>
    <xf numFmtId="43" fontId="1" fillId="0" borderId="0" applyFont="0" applyFill="0" applyBorder="0" applyAlignment="0" applyProtection="0"/>
    <xf numFmtId="0" fontId="2" fillId="2"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7" borderId="21" applyNumberFormat="0" applyFont="0" applyAlignment="0" applyProtection="0"/>
    <xf numFmtId="9" fontId="1" fillId="0" borderId="0" applyFont="0" applyFill="0" applyBorder="0" applyAlignment="0" applyProtection="0"/>
  </cellStyleXfs>
  <cellXfs count="134">
    <xf numFmtId="0" fontId="0" fillId="0" borderId="0" xfId="0"/>
    <xf numFmtId="0" fontId="3" fillId="3" borderId="1" xfId="0" applyFont="1" applyFill="1" applyBorder="1" applyAlignment="1">
      <alignment horizontal="center" vertical="top" wrapText="1"/>
    </xf>
    <xf numFmtId="1" fontId="3" fillId="3" borderId="1" xfId="0" applyNumberFormat="1" applyFont="1" applyFill="1" applyBorder="1" applyAlignment="1">
      <alignment horizontal="center" vertical="top" wrapText="1"/>
    </xf>
    <xf numFmtId="43" fontId="3" fillId="3" borderId="1" xfId="1" applyFont="1" applyFill="1" applyBorder="1" applyAlignment="1">
      <alignment horizontal="center" vertical="top" wrapText="1"/>
    </xf>
    <xf numFmtId="0" fontId="0" fillId="0" borderId="0" xfId="0" applyAlignment="1">
      <alignment horizontal="center" vertical="top" wrapText="1"/>
    </xf>
    <xf numFmtId="1" fontId="0" fillId="0" borderId="0" xfId="0" applyNumberFormat="1"/>
    <xf numFmtId="1" fontId="0" fillId="0" borderId="0" xfId="1" applyNumberFormat="1" applyFont="1"/>
    <xf numFmtId="43" fontId="0" fillId="0" borderId="0" xfId="1" applyFont="1"/>
    <xf numFmtId="14" fontId="5" fillId="0" borderId="0" xfId="0" applyNumberFormat="1" applyFont="1"/>
    <xf numFmtId="164" fontId="6" fillId="0" borderId="0" xfId="1" applyNumberFormat="1" applyFont="1" applyProtection="1"/>
    <xf numFmtId="43" fontId="6" fillId="0" borderId="0" xfId="1" applyFont="1" applyProtection="1"/>
    <xf numFmtId="0" fontId="6" fillId="0" borderId="0" xfId="0" applyFont="1"/>
    <xf numFmtId="14" fontId="6" fillId="0" borderId="0" xfId="0" applyNumberFormat="1" applyFont="1"/>
    <xf numFmtId="14" fontId="7" fillId="0" borderId="2" xfId="0" applyNumberFormat="1" applyFont="1" applyBorder="1"/>
    <xf numFmtId="164" fontId="8" fillId="0" borderId="3" xfId="1" applyNumberFormat="1" applyFont="1" applyBorder="1" applyProtection="1"/>
    <xf numFmtId="164" fontId="6" fillId="0" borderId="3" xfId="1" applyNumberFormat="1" applyFont="1" applyBorder="1" applyProtection="1"/>
    <xf numFmtId="43" fontId="6" fillId="0" borderId="4" xfId="1" applyFont="1" applyBorder="1" applyProtection="1"/>
    <xf numFmtId="43" fontId="7" fillId="0" borderId="2" xfId="1" applyFont="1" applyBorder="1" applyProtection="1"/>
    <xf numFmtId="164" fontId="6" fillId="0" borderId="4" xfId="1" applyNumberFormat="1" applyFont="1" applyBorder="1" applyProtection="1"/>
    <xf numFmtId="164" fontId="7" fillId="0" borderId="2" xfId="1" applyNumberFormat="1" applyFont="1" applyBorder="1" applyProtection="1"/>
    <xf numFmtId="14" fontId="6" fillId="4" borderId="5" xfId="2" applyNumberFormat="1" applyFont="1" applyFill="1" applyBorder="1" applyProtection="1"/>
    <xf numFmtId="164" fontId="6" fillId="4" borderId="0" xfId="1" applyNumberFormat="1" applyFont="1" applyFill="1" applyBorder="1" applyProtection="1"/>
    <xf numFmtId="43" fontId="6" fillId="4" borderId="5" xfId="1" applyFont="1" applyFill="1" applyBorder="1" applyProtection="1"/>
    <xf numFmtId="164" fontId="6" fillId="0" borderId="5" xfId="1" applyNumberFormat="1" applyFont="1" applyFill="1" applyBorder="1" applyProtection="1"/>
    <xf numFmtId="164" fontId="6" fillId="0" borderId="0" xfId="1" applyNumberFormat="1" applyFont="1" applyFill="1" applyBorder="1" applyProtection="1"/>
    <xf numFmtId="164" fontId="6" fillId="0" borderId="5" xfId="1" applyNumberFormat="1" applyFont="1" applyBorder="1" applyProtection="1"/>
    <xf numFmtId="164" fontId="6" fillId="0" borderId="0" xfId="1" applyNumberFormat="1" applyFont="1" applyBorder="1" applyProtection="1"/>
    <xf numFmtId="14" fontId="6" fillId="4" borderId="10" xfId="2" applyNumberFormat="1" applyFont="1" applyFill="1" applyBorder="1" applyProtection="1"/>
    <xf numFmtId="164" fontId="6" fillId="4" borderId="11" xfId="1" applyNumberFormat="1" applyFont="1" applyFill="1" applyBorder="1" applyProtection="1"/>
    <xf numFmtId="164" fontId="6" fillId="0" borderId="3" xfId="1" applyNumberFormat="1" applyFont="1" applyBorder="1" applyAlignment="1" applyProtection="1">
      <alignment horizontal="left"/>
    </xf>
    <xf numFmtId="43" fontId="6" fillId="0" borderId="4" xfId="1" applyFont="1" applyBorder="1" applyAlignment="1" applyProtection="1">
      <alignment horizontal="left"/>
    </xf>
    <xf numFmtId="14" fontId="6" fillId="0" borderId="5" xfId="0" applyNumberFormat="1" applyFont="1" applyBorder="1"/>
    <xf numFmtId="164" fontId="6" fillId="0" borderId="10" xfId="1" applyNumberFormat="1" applyFont="1" applyFill="1" applyBorder="1" applyProtection="1"/>
    <xf numFmtId="14" fontId="7" fillId="0" borderId="0" xfId="0" applyNumberFormat="1" applyFont="1"/>
    <xf numFmtId="164" fontId="6" fillId="0" borderId="0" xfId="1" applyNumberFormat="1" applyFont="1" applyFill="1" applyProtection="1"/>
    <xf numFmtId="43" fontId="6" fillId="0" borderId="0" xfId="1" applyFont="1" applyFill="1" applyProtection="1"/>
    <xf numFmtId="14" fontId="9" fillId="0" borderId="0" xfId="0" applyNumberFormat="1" applyFont="1"/>
    <xf numFmtId="43" fontId="6" fillId="0" borderId="0" xfId="1" applyFont="1" applyFill="1" applyBorder="1" applyProtection="1"/>
    <xf numFmtId="164" fontId="6" fillId="5" borderId="14" xfId="1" applyNumberFormat="1" applyFont="1" applyFill="1" applyBorder="1" applyAlignment="1" applyProtection="1">
      <alignment wrapText="1"/>
    </xf>
    <xf numFmtId="0" fontId="10" fillId="7" borderId="1" xfId="1" applyNumberFormat="1" applyFont="1" applyFill="1" applyBorder="1" applyAlignment="1" applyProtection="1">
      <alignment horizontal="left" vertical="top" wrapText="1"/>
    </xf>
    <xf numFmtId="164" fontId="10" fillId="0" borderId="0" xfId="1" applyNumberFormat="1" applyFont="1" applyAlignment="1">
      <alignment wrapText="1"/>
    </xf>
    <xf numFmtId="43" fontId="10" fillId="0" borderId="0" xfId="1" applyFont="1" applyAlignment="1" applyProtection="1">
      <alignment wrapText="1"/>
    </xf>
    <xf numFmtId="164" fontId="10" fillId="7" borderId="1" xfId="1" applyNumberFormat="1" applyFont="1" applyFill="1" applyBorder="1" applyAlignment="1" applyProtection="1">
      <alignment horizontal="left" vertical="top" wrapText="1"/>
    </xf>
    <xf numFmtId="164" fontId="10" fillId="0" borderId="0" xfId="1" applyNumberFormat="1" applyFont="1" applyAlignment="1" applyProtection="1">
      <alignment horizontal="left" vertical="top" wrapText="1"/>
    </xf>
    <xf numFmtId="164" fontId="10" fillId="0" borderId="0" xfId="1" applyNumberFormat="1" applyFont="1" applyAlignment="1">
      <alignment horizontal="left" vertical="top" wrapText="1"/>
    </xf>
    <xf numFmtId="164" fontId="10" fillId="7" borderId="15" xfId="1" applyNumberFormat="1" applyFont="1" applyFill="1" applyBorder="1" applyAlignment="1" applyProtection="1">
      <alignment horizontal="left" vertical="top" wrapText="1"/>
    </xf>
    <xf numFmtId="14" fontId="11" fillId="0" borderId="1" xfId="0" applyNumberFormat="1" applyFont="1" applyBorder="1" applyAlignment="1">
      <alignment horizontal="center" wrapText="1"/>
    </xf>
    <xf numFmtId="164" fontId="11" fillId="8" borderId="1" xfId="1" applyNumberFormat="1" applyFont="1" applyFill="1" applyBorder="1" applyAlignment="1" applyProtection="1">
      <alignment horizontal="center" wrapText="1"/>
    </xf>
    <xf numFmtId="164" fontId="11" fillId="0" borderId="1" xfId="1" applyNumberFormat="1" applyFont="1" applyBorder="1" applyAlignment="1" applyProtection="1">
      <alignment horizontal="center" wrapText="1"/>
    </xf>
    <xf numFmtId="43" fontId="11" fillId="0" borderId="1" xfId="1" applyFont="1" applyFill="1" applyBorder="1" applyAlignment="1" applyProtection="1">
      <alignment horizontal="center" wrapText="1"/>
    </xf>
    <xf numFmtId="43" fontId="11" fillId="8" borderId="1" xfId="1" applyFont="1" applyFill="1" applyBorder="1" applyAlignment="1" applyProtection="1">
      <alignment horizontal="center" wrapText="1"/>
    </xf>
    <xf numFmtId="164" fontId="11" fillId="8" borderId="1" xfId="1" quotePrefix="1" applyNumberFormat="1" applyFont="1" applyFill="1" applyBorder="1" applyAlignment="1" applyProtection="1">
      <alignment horizontal="center" wrapText="1"/>
    </xf>
    <xf numFmtId="164" fontId="11" fillId="0" borderId="1" xfId="1" applyNumberFormat="1" applyFont="1" applyFill="1" applyBorder="1" applyAlignment="1" applyProtection="1">
      <alignment horizontal="center" wrapText="1"/>
    </xf>
    <xf numFmtId="14" fontId="11" fillId="0" borderId="0" xfId="0" applyNumberFormat="1" applyFont="1" applyAlignment="1">
      <alignment horizontal="center" wrapText="1"/>
    </xf>
    <xf numFmtId="164" fontId="11" fillId="0" borderId="0" xfId="1" applyNumberFormat="1" applyFont="1" applyBorder="1" applyAlignment="1" applyProtection="1">
      <alignment horizontal="center" wrapText="1"/>
    </xf>
    <xf numFmtId="43" fontId="11" fillId="0" borderId="0" xfId="1" applyFont="1" applyBorder="1" applyAlignment="1" applyProtection="1">
      <alignment horizontal="center" wrapText="1"/>
    </xf>
    <xf numFmtId="14" fontId="6" fillId="4" borderId="0" xfId="0" applyNumberFormat="1" applyFont="1" applyFill="1"/>
    <xf numFmtId="164" fontId="6" fillId="8" borderId="0" xfId="1" applyNumberFormat="1" applyFont="1" applyFill="1" applyProtection="1"/>
    <xf numFmtId="164" fontId="6" fillId="4" borderId="0" xfId="1" applyNumberFormat="1" applyFont="1" applyFill="1" applyProtection="1"/>
    <xf numFmtId="43" fontId="6" fillId="4" borderId="0" xfId="1" applyFont="1" applyFill="1" applyProtection="1"/>
    <xf numFmtId="43" fontId="6" fillId="8" borderId="0" xfId="1" applyFont="1" applyFill="1" applyProtection="1"/>
    <xf numFmtId="14" fontId="6" fillId="9" borderId="0" xfId="0" applyNumberFormat="1" applyFont="1" applyFill="1"/>
    <xf numFmtId="164" fontId="6" fillId="9" borderId="0" xfId="1" applyNumberFormat="1" applyFont="1" applyFill="1" applyProtection="1"/>
    <xf numFmtId="43" fontId="6" fillId="9" borderId="0" xfId="1" applyFont="1" applyFill="1" applyProtection="1"/>
    <xf numFmtId="164" fontId="6" fillId="9" borderId="0" xfId="1" applyNumberFormat="1" applyFont="1" applyFill="1" applyProtection="1">
      <protection locked="0"/>
    </xf>
    <xf numFmtId="14" fontId="0" fillId="0" borderId="0" xfId="0" applyNumberFormat="1"/>
    <xf numFmtId="14" fontId="0" fillId="0" borderId="0" xfId="1" applyNumberFormat="1" applyFont="1"/>
    <xf numFmtId="43" fontId="6" fillId="0" borderId="0" xfId="1" applyFont="1"/>
    <xf numFmtId="43" fontId="8" fillId="0" borderId="3" xfId="1" applyFont="1" applyBorder="1" applyProtection="1"/>
    <xf numFmtId="43" fontId="6" fillId="0" borderId="0" xfId="1" applyFont="1" applyBorder="1" applyProtection="1"/>
    <xf numFmtId="43" fontId="6" fillId="0" borderId="11" xfId="1" applyFont="1" applyFill="1" applyBorder="1" applyProtection="1"/>
    <xf numFmtId="43" fontId="10" fillId="0" borderId="0" xfId="1" applyFont="1" applyAlignment="1" applyProtection="1">
      <alignment horizontal="left" vertical="top" wrapText="1"/>
    </xf>
    <xf numFmtId="164" fontId="15" fillId="14" borderId="1" xfId="7" applyNumberFormat="1" applyFont="1" applyBorder="1" applyAlignment="1" applyProtection="1">
      <alignment horizontal="left" vertical="top" wrapText="1"/>
    </xf>
    <xf numFmtId="164" fontId="15" fillId="14" borderId="15" xfId="7" applyNumberFormat="1" applyFont="1" applyBorder="1" applyAlignment="1" applyProtection="1">
      <alignment horizontal="left" vertical="top" wrapText="1"/>
    </xf>
    <xf numFmtId="0" fontId="16" fillId="0" borderId="0" xfId="0" applyFont="1"/>
    <xf numFmtId="0" fontId="16" fillId="0" borderId="0" xfId="0" applyFont="1" applyAlignment="1">
      <alignment horizontal="left"/>
    </xf>
    <xf numFmtId="43" fontId="16" fillId="0" borderId="0" xfId="1" applyFont="1"/>
    <xf numFmtId="14" fontId="17" fillId="0" borderId="0" xfId="3" applyNumberFormat="1" applyFont="1" applyFill="1" applyAlignment="1">
      <alignment horizontal="left"/>
    </xf>
    <xf numFmtId="43" fontId="16" fillId="0" borderId="0" xfId="1" applyFont="1" applyAlignment="1">
      <alignment horizontal="left"/>
    </xf>
    <xf numFmtId="164" fontId="1" fillId="15" borderId="1" xfId="8" applyNumberFormat="1" applyBorder="1" applyAlignment="1" applyProtection="1">
      <alignment horizontal="center" wrapText="1"/>
    </xf>
    <xf numFmtId="164" fontId="14" fillId="0" borderId="0" xfId="1" applyNumberFormat="1" applyFont="1" applyProtection="1"/>
    <xf numFmtId="164" fontId="11" fillId="16" borderId="1" xfId="1" applyNumberFormat="1" applyFont="1" applyFill="1" applyBorder="1" applyAlignment="1" applyProtection="1">
      <alignment horizontal="center" wrapText="1"/>
    </xf>
    <xf numFmtId="43" fontId="11" fillId="16" borderId="1" xfId="1" applyFont="1" applyFill="1" applyBorder="1" applyAlignment="1" applyProtection="1">
      <alignment horizontal="center" wrapText="1"/>
    </xf>
    <xf numFmtId="164" fontId="11" fillId="16" borderId="1" xfId="1" quotePrefix="1" applyNumberFormat="1" applyFont="1" applyFill="1" applyBorder="1" applyAlignment="1" applyProtection="1">
      <alignment horizontal="center" wrapText="1"/>
    </xf>
    <xf numFmtId="164" fontId="6" fillId="6" borderId="22" xfId="1" applyNumberFormat="1" applyFont="1" applyFill="1" applyBorder="1" applyAlignment="1" applyProtection="1">
      <alignment horizontal="left"/>
    </xf>
    <xf numFmtId="164" fontId="6" fillId="6" borderId="23" xfId="1" applyNumberFormat="1" applyFont="1" applyFill="1" applyBorder="1" applyAlignment="1" applyProtection="1">
      <alignment horizontal="left"/>
    </xf>
    <xf numFmtId="164" fontId="6" fillId="6" borderId="24" xfId="1" applyNumberFormat="1" applyFont="1" applyFill="1" applyBorder="1" applyAlignment="1" applyProtection="1">
      <alignment horizontal="left"/>
    </xf>
    <xf numFmtId="43" fontId="6" fillId="18" borderId="10" xfId="1" applyFont="1" applyFill="1" applyBorder="1" applyProtection="1"/>
    <xf numFmtId="164" fontId="6" fillId="18" borderId="11" xfId="1" applyNumberFormat="1" applyFont="1" applyFill="1" applyBorder="1" applyProtection="1"/>
    <xf numFmtId="14" fontId="6" fillId="18" borderId="10" xfId="0" applyNumberFormat="1" applyFont="1" applyFill="1" applyBorder="1"/>
    <xf numFmtId="164" fontId="6" fillId="6" borderId="7" xfId="1" applyNumberFormat="1" applyFont="1" applyFill="1" applyBorder="1" applyAlignment="1" applyProtection="1">
      <alignment horizontal="left"/>
    </xf>
    <xf numFmtId="164" fontId="6" fillId="6" borderId="9" xfId="1" applyNumberFormat="1" applyFont="1" applyFill="1" applyBorder="1" applyAlignment="1" applyProtection="1">
      <alignment horizontal="left"/>
    </xf>
    <xf numFmtId="164" fontId="6" fillId="6" borderId="8" xfId="1" applyNumberFormat="1" applyFont="1" applyFill="1" applyBorder="1" applyAlignment="1" applyProtection="1">
      <alignment horizontal="left"/>
    </xf>
    <xf numFmtId="14" fontId="6" fillId="6" borderId="7" xfId="1" applyNumberFormat="1" applyFont="1" applyFill="1" applyBorder="1" applyAlignment="1" applyProtection="1">
      <alignment horizontal="left"/>
    </xf>
    <xf numFmtId="14" fontId="6" fillId="6" borderId="9" xfId="1" applyNumberFormat="1" applyFont="1" applyFill="1" applyBorder="1" applyAlignment="1" applyProtection="1">
      <alignment horizontal="left"/>
    </xf>
    <xf numFmtId="14" fontId="6" fillId="6" borderId="8" xfId="1" applyNumberFormat="1" applyFont="1" applyFill="1" applyBorder="1" applyAlignment="1" applyProtection="1">
      <alignment horizontal="left"/>
    </xf>
    <xf numFmtId="9" fontId="6" fillId="4" borderId="0" xfId="10" applyFont="1" applyFill="1" applyProtection="1"/>
    <xf numFmtId="9" fontId="6" fillId="0" borderId="0" xfId="10" applyFont="1" applyProtection="1"/>
    <xf numFmtId="9" fontId="6" fillId="9" borderId="0" xfId="10" applyFont="1" applyFill="1" applyProtection="1"/>
    <xf numFmtId="0" fontId="18" fillId="17" borderId="25" xfId="9" applyFont="1" applyBorder="1" applyAlignment="1">
      <alignment horizontal="center"/>
    </xf>
    <xf numFmtId="0" fontId="18" fillId="17" borderId="26" xfId="9" applyFont="1" applyBorder="1" applyAlignment="1">
      <alignment horizontal="center"/>
    </xf>
    <xf numFmtId="0" fontId="18" fillId="17" borderId="27" xfId="9" applyFont="1" applyBorder="1" applyAlignment="1">
      <alignment horizontal="center"/>
    </xf>
    <xf numFmtId="0" fontId="16" fillId="0" borderId="7" xfId="0" applyFont="1" applyBorder="1" applyAlignment="1">
      <alignment horizontal="center"/>
    </xf>
    <xf numFmtId="0" fontId="16" fillId="0" borderId="9" xfId="0" applyFont="1" applyBorder="1" applyAlignment="1">
      <alignment horizontal="center"/>
    </xf>
    <xf numFmtId="0" fontId="16" fillId="0" borderId="20" xfId="0" applyFont="1" applyBorder="1" applyAlignment="1">
      <alignment horizontal="center"/>
    </xf>
    <xf numFmtId="14" fontId="6" fillId="5" borderId="12" xfId="0" applyNumberFormat="1" applyFont="1" applyFill="1" applyBorder="1" applyAlignment="1">
      <alignment horizontal="left"/>
    </xf>
    <xf numFmtId="14" fontId="6" fillId="5" borderId="13" xfId="0" applyNumberFormat="1" applyFont="1" applyFill="1" applyBorder="1" applyAlignment="1">
      <alignment horizontal="left"/>
    </xf>
    <xf numFmtId="0" fontId="17" fillId="11" borderId="18" xfId="4" applyFont="1" applyBorder="1" applyAlignment="1">
      <alignment horizontal="center"/>
    </xf>
    <xf numFmtId="0" fontId="17" fillId="11" borderId="16" xfId="4" applyFont="1" applyBorder="1" applyAlignment="1">
      <alignment horizontal="center"/>
    </xf>
    <xf numFmtId="0" fontId="17" fillId="11" borderId="19" xfId="4" applyFont="1" applyBorder="1" applyAlignment="1">
      <alignment horizontal="center"/>
    </xf>
    <xf numFmtId="0" fontId="17" fillId="12" borderId="18" xfId="5" applyFont="1" applyBorder="1" applyAlignment="1">
      <alignment horizontal="center"/>
    </xf>
    <xf numFmtId="0" fontId="17" fillId="12" borderId="16" xfId="5" applyFont="1" applyBorder="1" applyAlignment="1">
      <alignment horizontal="center"/>
    </xf>
    <xf numFmtId="0" fontId="17" fillId="12" borderId="19" xfId="5" applyFont="1" applyBorder="1" applyAlignment="1">
      <alignment horizontal="center"/>
    </xf>
    <xf numFmtId="0" fontId="17" fillId="13" borderId="18" xfId="6" applyFont="1" applyBorder="1" applyAlignment="1">
      <alignment horizontal="center"/>
    </xf>
    <xf numFmtId="0" fontId="17" fillId="13" borderId="16" xfId="6" applyFont="1" applyBorder="1" applyAlignment="1">
      <alignment horizontal="center"/>
    </xf>
    <xf numFmtId="0" fontId="17" fillId="13" borderId="17" xfId="6" applyFont="1" applyBorder="1" applyAlignment="1">
      <alignment horizontal="center"/>
    </xf>
    <xf numFmtId="0" fontId="6" fillId="5" borderId="1" xfId="0" applyFont="1" applyFill="1" applyBorder="1" applyAlignment="1">
      <alignment horizontal="left"/>
    </xf>
    <xf numFmtId="0" fontId="6" fillId="5" borderId="6" xfId="0" applyFont="1" applyFill="1" applyBorder="1" applyAlignment="1">
      <alignment horizontal="left"/>
    </xf>
    <xf numFmtId="164" fontId="6" fillId="6" borderId="7" xfId="1" applyNumberFormat="1" applyFont="1" applyFill="1" applyBorder="1" applyAlignment="1" applyProtection="1">
      <alignment horizontal="left"/>
    </xf>
    <xf numFmtId="164" fontId="6" fillId="6" borderId="9" xfId="1" applyNumberFormat="1" applyFont="1" applyFill="1" applyBorder="1" applyAlignment="1" applyProtection="1">
      <alignment horizontal="left"/>
    </xf>
    <xf numFmtId="164" fontId="6" fillId="6" borderId="8" xfId="1" applyNumberFormat="1" applyFont="1" applyFill="1" applyBorder="1" applyAlignment="1" applyProtection="1">
      <alignment horizontal="left"/>
    </xf>
    <xf numFmtId="9" fontId="6" fillId="6" borderId="7" xfId="10" applyFont="1" applyFill="1" applyBorder="1" applyAlignment="1" applyProtection="1">
      <alignment horizontal="left"/>
    </xf>
    <xf numFmtId="9" fontId="6" fillId="6" borderId="9" xfId="10" applyFont="1" applyFill="1" applyBorder="1" applyAlignment="1" applyProtection="1">
      <alignment horizontal="left"/>
    </xf>
    <xf numFmtId="9" fontId="6" fillId="6" borderId="8" xfId="10" applyFont="1" applyFill="1" applyBorder="1" applyAlignment="1" applyProtection="1">
      <alignment horizontal="left"/>
    </xf>
    <xf numFmtId="14" fontId="6" fillId="5" borderId="1" xfId="0" applyNumberFormat="1" applyFont="1" applyFill="1" applyBorder="1" applyAlignment="1">
      <alignment horizontal="left"/>
    </xf>
    <xf numFmtId="14" fontId="6" fillId="5" borderId="6" xfId="0" applyNumberFormat="1" applyFont="1" applyFill="1" applyBorder="1" applyAlignment="1">
      <alignment horizontal="left"/>
    </xf>
    <xf numFmtId="0" fontId="6" fillId="5" borderId="12" xfId="0" applyFont="1" applyFill="1" applyBorder="1" applyAlignment="1">
      <alignment horizontal="left"/>
    </xf>
    <xf numFmtId="0" fontId="6" fillId="5" borderId="13" xfId="0" applyFont="1" applyFill="1" applyBorder="1" applyAlignment="1">
      <alignment horizontal="left"/>
    </xf>
    <xf numFmtId="49" fontId="6" fillId="6" borderId="7" xfId="1" applyNumberFormat="1" applyFont="1" applyFill="1" applyBorder="1" applyAlignment="1" applyProtection="1">
      <alignment horizontal="left"/>
    </xf>
    <xf numFmtId="49" fontId="6" fillId="6" borderId="9" xfId="1" applyNumberFormat="1" applyFont="1" applyFill="1" applyBorder="1" applyAlignment="1" applyProtection="1">
      <alignment horizontal="left"/>
    </xf>
    <xf numFmtId="49" fontId="6" fillId="6" borderId="8" xfId="1" applyNumberFormat="1" applyFont="1" applyFill="1" applyBorder="1" applyAlignment="1" applyProtection="1">
      <alignment horizontal="left"/>
    </xf>
    <xf numFmtId="14" fontId="6" fillId="6" borderId="7" xfId="1" applyNumberFormat="1" applyFont="1" applyFill="1" applyBorder="1" applyAlignment="1" applyProtection="1">
      <alignment horizontal="left"/>
    </xf>
    <xf numFmtId="14" fontId="6" fillId="6" borderId="9" xfId="1" applyNumberFormat="1" applyFont="1" applyFill="1" applyBorder="1" applyAlignment="1" applyProtection="1">
      <alignment horizontal="left"/>
    </xf>
    <xf numFmtId="14" fontId="6" fillId="6" borderId="8" xfId="1" applyNumberFormat="1" applyFont="1" applyFill="1" applyBorder="1" applyAlignment="1" applyProtection="1">
      <alignment horizontal="left"/>
    </xf>
  </cellXfs>
  <cellStyles count="11">
    <cellStyle name="20% - Accent1" xfId="4" builtinId="30"/>
    <cellStyle name="20% - Accent4" xfId="7" builtinId="42"/>
    <cellStyle name="40% - Accent1" xfId="5" builtinId="31"/>
    <cellStyle name="40% - Accent4" xfId="3" builtinId="43"/>
    <cellStyle name="60% - Accent1" xfId="6" builtinId="32"/>
    <cellStyle name="60% - Accent4" xfId="8" builtinId="44"/>
    <cellStyle name="Comma" xfId="1" builtinId="3"/>
    <cellStyle name="Good" xfId="2" builtinId="26"/>
    <cellStyle name="Normal" xfId="0" builtinId="0"/>
    <cellStyle name="Note" xfId="9" builtinId="10"/>
    <cellStyle name="Percent" xfId="10" builtinId="5"/>
  </cellStyles>
  <dxfs count="1">
    <dxf>
      <font>
        <color rgb="FFFF0000"/>
      </font>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 dockstate="right" visibility="0" width="525"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4133435-19A6-4A2F-88D9-FF8EACA3F273}">
  <we:reference id="d1b6c119-7adc-4ea3-9008-ce94dd5f5c30" version="1.0.0.0" store="EXCatalog" storeType="EXCatalog"/>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FE7A3A64-1DAB-4FFC-826C-59301D3EEBCE}">
  <we:reference id="94c696ba-d8b2-5988-9d78-772f11c5c9cf"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06D1-9525-4F18-8EE6-B9F876759839}">
  <dimension ref="A1:W15"/>
  <sheetViews>
    <sheetView zoomScaleNormal="100" workbookViewId="0">
      <pane ySplit="1" topLeftCell="A2" activePane="bottomLeft" state="frozen"/>
      <selection pane="bottomLeft" sqref="A1:XFD1048576"/>
    </sheetView>
  </sheetViews>
  <sheetFormatPr defaultRowHeight="14.5" x14ac:dyDescent="0.35"/>
  <cols>
    <col min="1" max="1" width="40.7265625" customWidth="1"/>
    <col min="2" max="5" width="10.7265625" style="5" customWidth="1"/>
    <col min="6" max="7" width="10.7265625" customWidth="1"/>
    <col min="8" max="11" width="40.7265625" customWidth="1"/>
    <col min="12" max="12" width="10.7265625" style="5" customWidth="1"/>
    <col min="13" max="13" width="40.7265625" customWidth="1"/>
    <col min="14" max="14" width="20.7265625" customWidth="1"/>
    <col min="15" max="16" width="40.7265625" customWidth="1"/>
    <col min="17" max="18" width="15.7265625" style="7" customWidth="1"/>
    <col min="19" max="19" width="12.7265625" style="7" customWidth="1"/>
    <col min="20" max="20" width="15.7265625" style="7" customWidth="1"/>
    <col min="22" max="22" width="20.7265625" customWidth="1"/>
  </cols>
  <sheetData>
    <row r="1" spans="1:23" s="4" customFormat="1" ht="29" x14ac:dyDescent="0.35">
      <c r="A1" s="1" t="s">
        <v>0</v>
      </c>
      <c r="B1" s="2" t="s">
        <v>1</v>
      </c>
      <c r="C1" s="2" t="s">
        <v>2</v>
      </c>
      <c r="D1" s="2" t="s">
        <v>3</v>
      </c>
      <c r="E1" s="2" t="s">
        <v>4</v>
      </c>
      <c r="F1" s="1" t="s">
        <v>5</v>
      </c>
      <c r="G1" s="1" t="s">
        <v>6</v>
      </c>
      <c r="H1" s="1" t="s">
        <v>7</v>
      </c>
      <c r="I1" s="1" t="s">
        <v>8</v>
      </c>
      <c r="J1" s="1" t="s">
        <v>9</v>
      </c>
      <c r="K1" s="1" t="s">
        <v>10</v>
      </c>
      <c r="L1" s="2" t="s">
        <v>11</v>
      </c>
      <c r="M1" s="1" t="s">
        <v>12</v>
      </c>
      <c r="N1" s="1" t="s">
        <v>13</v>
      </c>
      <c r="O1" s="1" t="s">
        <v>14</v>
      </c>
      <c r="P1" s="1" t="s">
        <v>15</v>
      </c>
      <c r="Q1" s="3" t="s">
        <v>16</v>
      </c>
      <c r="R1" s="3" t="s">
        <v>17</v>
      </c>
      <c r="S1" s="3" t="s">
        <v>18</v>
      </c>
      <c r="T1" s="3" t="s">
        <v>19</v>
      </c>
      <c r="U1" s="1" t="s">
        <v>20</v>
      </c>
      <c r="V1" s="1" t="s">
        <v>21</v>
      </c>
      <c r="W1" s="1" t="s">
        <v>22</v>
      </c>
    </row>
    <row r="2" spans="1:23" s="7" customFormat="1" x14ac:dyDescent="0.35">
      <c r="A2" t="s">
        <v>23</v>
      </c>
      <c r="B2" s="5">
        <v>7</v>
      </c>
      <c r="C2" s="5">
        <v>1</v>
      </c>
      <c r="D2" s="6">
        <v>1</v>
      </c>
      <c r="E2" s="6">
        <v>1</v>
      </c>
      <c r="F2" s="66">
        <v>43895</v>
      </c>
      <c r="G2" s="66">
        <v>43895</v>
      </c>
      <c r="H2" t="s">
        <v>24</v>
      </c>
      <c r="I2" t="s">
        <v>25</v>
      </c>
      <c r="J2" t="s">
        <v>25</v>
      </c>
      <c r="K2" t="s">
        <v>26</v>
      </c>
      <c r="L2" s="5">
        <v>40100</v>
      </c>
      <c r="M2" t="s">
        <v>27</v>
      </c>
      <c r="N2" t="s">
        <v>28</v>
      </c>
      <c r="O2" t="s">
        <v>29</v>
      </c>
      <c r="P2" t="s">
        <v>30</v>
      </c>
      <c r="Q2" s="7">
        <v>1450222.2222222209</v>
      </c>
      <c r="R2" s="7">
        <f>ABS(Q2)</f>
        <v>1450222.2222222209</v>
      </c>
      <c r="S2" s="7">
        <v>1</v>
      </c>
      <c r="T2" s="7">
        <f>IF(S2=0,0,(R2/S2))</f>
        <v>1450222.2222222209</v>
      </c>
      <c r="U2" t="b">
        <f>Q2&lt;=0</f>
        <v>0</v>
      </c>
      <c r="V2" t="s">
        <v>31</v>
      </c>
      <c r="W2"/>
    </row>
    <row r="3" spans="1:23" s="7" customFormat="1" x14ac:dyDescent="0.35">
      <c r="A3" t="s">
        <v>23</v>
      </c>
      <c r="B3" s="5">
        <v>7</v>
      </c>
      <c r="C3" s="5">
        <v>1</v>
      </c>
      <c r="D3" s="6">
        <v>1</v>
      </c>
      <c r="E3" s="6">
        <v>2</v>
      </c>
      <c r="F3" s="66">
        <v>43895</v>
      </c>
      <c r="G3" s="66">
        <v>43895</v>
      </c>
      <c r="H3" t="s">
        <v>24</v>
      </c>
      <c r="I3" t="s">
        <v>25</v>
      </c>
      <c r="J3" t="s">
        <v>25</v>
      </c>
      <c r="K3" t="s">
        <v>32</v>
      </c>
      <c r="L3" s="5">
        <v>23000</v>
      </c>
      <c r="M3" t="s">
        <v>33</v>
      </c>
      <c r="N3" t="s">
        <v>28</v>
      </c>
      <c r="O3" t="s">
        <v>29</v>
      </c>
      <c r="P3" t="s">
        <v>30</v>
      </c>
      <c r="Q3" s="7">
        <v>1450222.2222222209</v>
      </c>
      <c r="R3" s="7">
        <f>ABS(Q3)</f>
        <v>1450222.2222222209</v>
      </c>
      <c r="S3" s="7">
        <v>1</v>
      </c>
      <c r="T3" s="7">
        <f>IF(S3=0,0,(R3/S3))</f>
        <v>1450222.2222222209</v>
      </c>
      <c r="U3" t="b">
        <f>NOT(U2)</f>
        <v>1</v>
      </c>
      <c r="V3" t="s">
        <v>31</v>
      </c>
      <c r="W3"/>
    </row>
    <row r="4" spans="1:23" s="7" customFormat="1" x14ac:dyDescent="0.35">
      <c r="A4"/>
      <c r="B4" s="5"/>
      <c r="C4" s="5"/>
      <c r="D4" s="6"/>
      <c r="E4" s="6"/>
      <c r="H4"/>
      <c r="I4"/>
      <c r="J4"/>
      <c r="K4"/>
      <c r="L4" s="5"/>
      <c r="M4"/>
      <c r="N4"/>
      <c r="O4"/>
      <c r="P4"/>
      <c r="U4"/>
      <c r="V4"/>
      <c r="W4"/>
    </row>
    <row r="5" spans="1:23" s="7" customFormat="1" x14ac:dyDescent="0.35">
      <c r="A5" t="s">
        <v>23</v>
      </c>
      <c r="B5" s="5">
        <v>7</v>
      </c>
      <c r="C5" s="5">
        <v>1</v>
      </c>
      <c r="D5" s="6">
        <v>1</v>
      </c>
      <c r="E5" s="6">
        <v>1</v>
      </c>
      <c r="F5" s="66">
        <v>43895</v>
      </c>
      <c r="G5" s="66">
        <v>43895</v>
      </c>
      <c r="H5" t="s">
        <v>24</v>
      </c>
      <c r="I5" t="s">
        <v>25</v>
      </c>
      <c r="J5" t="s">
        <v>25</v>
      </c>
      <c r="K5" t="s">
        <v>34</v>
      </c>
      <c r="L5" s="5">
        <v>40100</v>
      </c>
      <c r="M5" t="s">
        <v>27</v>
      </c>
      <c r="N5" t="s">
        <v>28</v>
      </c>
      <c r="O5" t="s">
        <v>29</v>
      </c>
      <c r="P5" t="s">
        <v>30</v>
      </c>
      <c r="Q5" s="7">
        <v>-589152.77777777717</v>
      </c>
      <c r="R5" s="7">
        <f>ABS(Q5)</f>
        <v>589152.77777777717</v>
      </c>
      <c r="S5" s="7">
        <v>1</v>
      </c>
      <c r="T5" s="7">
        <f>IF(S5=0,0,(R5/S5))</f>
        <v>589152.77777777717</v>
      </c>
      <c r="U5" t="b">
        <f>Q5&lt;=0</f>
        <v>1</v>
      </c>
      <c r="V5" t="s">
        <v>31</v>
      </c>
      <c r="W5"/>
    </row>
    <row r="6" spans="1:23" s="7" customFormat="1" x14ac:dyDescent="0.35">
      <c r="A6" t="s">
        <v>23</v>
      </c>
      <c r="B6" s="5">
        <v>7</v>
      </c>
      <c r="C6" s="5">
        <v>1</v>
      </c>
      <c r="D6" s="6">
        <v>1</v>
      </c>
      <c r="E6" s="6">
        <v>2</v>
      </c>
      <c r="F6" s="66">
        <v>43895</v>
      </c>
      <c r="G6" s="66">
        <v>43895</v>
      </c>
      <c r="H6" t="s">
        <v>24</v>
      </c>
      <c r="I6" t="s">
        <v>25</v>
      </c>
      <c r="J6" t="s">
        <v>25</v>
      </c>
      <c r="K6" t="s">
        <v>26</v>
      </c>
      <c r="L6" s="5">
        <v>23000</v>
      </c>
      <c r="M6" t="s">
        <v>33</v>
      </c>
      <c r="N6" t="s">
        <v>28</v>
      </c>
      <c r="O6" t="s">
        <v>29</v>
      </c>
      <c r="P6" t="s">
        <v>30</v>
      </c>
      <c r="Q6" s="7">
        <v>-589152.77777777717</v>
      </c>
      <c r="R6" s="7">
        <f>ABS(Q6)</f>
        <v>589152.77777777717</v>
      </c>
      <c r="S6" s="7">
        <v>1</v>
      </c>
      <c r="T6" s="7">
        <f>IF(S6=0,0,(R6/S6))</f>
        <v>589152.77777777717</v>
      </c>
      <c r="U6" t="b">
        <f>NOT(U5)</f>
        <v>0</v>
      </c>
      <c r="V6" t="s">
        <v>31</v>
      </c>
      <c r="W6"/>
    </row>
    <row r="7" spans="1:23" s="7" customFormat="1" x14ac:dyDescent="0.35">
      <c r="A7"/>
      <c r="B7" s="5"/>
      <c r="C7" s="5"/>
      <c r="D7" s="6"/>
      <c r="E7" s="6"/>
      <c r="H7"/>
      <c r="I7"/>
      <c r="J7"/>
      <c r="K7"/>
      <c r="L7" s="5"/>
      <c r="M7"/>
      <c r="N7"/>
      <c r="O7"/>
      <c r="P7"/>
      <c r="U7"/>
      <c r="V7"/>
      <c r="W7"/>
    </row>
    <row r="8" spans="1:23" s="7" customFormat="1" x14ac:dyDescent="0.35">
      <c r="A8" t="s">
        <v>23</v>
      </c>
      <c r="B8" s="5">
        <v>7</v>
      </c>
      <c r="C8" s="5">
        <v>1</v>
      </c>
      <c r="D8" s="6">
        <v>1</v>
      </c>
      <c r="E8" s="6">
        <v>1</v>
      </c>
      <c r="F8" s="66">
        <v>43895</v>
      </c>
      <c r="G8" s="66">
        <v>43832</v>
      </c>
      <c r="H8" t="s">
        <v>24</v>
      </c>
      <c r="I8" t="s">
        <v>25</v>
      </c>
      <c r="J8" t="s">
        <v>25</v>
      </c>
      <c r="K8" t="s">
        <v>35</v>
      </c>
      <c r="L8" s="5">
        <v>40100</v>
      </c>
      <c r="M8" t="s">
        <v>27</v>
      </c>
      <c r="N8" t="s">
        <v>28</v>
      </c>
      <c r="O8" t="s">
        <v>29</v>
      </c>
      <c r="P8" t="s">
        <v>36</v>
      </c>
      <c r="Q8" s="7">
        <v>100000</v>
      </c>
      <c r="R8" s="7">
        <f>ABS(Q8)</f>
        <v>100000</v>
      </c>
      <c r="S8" s="7">
        <v>1</v>
      </c>
      <c r="T8" s="7">
        <f>IF(S8=0,0,(R8/S8))</f>
        <v>100000</v>
      </c>
      <c r="U8" t="b">
        <f>Q8&lt;=0</f>
        <v>0</v>
      </c>
      <c r="V8" t="s">
        <v>31</v>
      </c>
      <c r="W8"/>
    </row>
    <row r="9" spans="1:23" s="7" customFormat="1" x14ac:dyDescent="0.35">
      <c r="A9" t="s">
        <v>23</v>
      </c>
      <c r="B9" s="5">
        <v>7</v>
      </c>
      <c r="C9" s="5">
        <v>1</v>
      </c>
      <c r="D9" s="6">
        <v>1</v>
      </c>
      <c r="E9" s="6">
        <v>2</v>
      </c>
      <c r="F9" s="66">
        <v>43895</v>
      </c>
      <c r="G9" s="66">
        <v>43832</v>
      </c>
      <c r="H9" t="s">
        <v>24</v>
      </c>
      <c r="I9" t="s">
        <v>25</v>
      </c>
      <c r="J9" t="s">
        <v>25</v>
      </c>
      <c r="K9" t="s">
        <v>37</v>
      </c>
      <c r="L9" s="5">
        <v>23000</v>
      </c>
      <c r="M9" t="s">
        <v>33</v>
      </c>
      <c r="N9" t="s">
        <v>28</v>
      </c>
      <c r="O9" t="s">
        <v>29</v>
      </c>
      <c r="P9" t="s">
        <v>36</v>
      </c>
      <c r="Q9" s="7">
        <v>100000</v>
      </c>
      <c r="R9" s="7">
        <f>ABS(Q9)</f>
        <v>100000</v>
      </c>
      <c r="S9" s="7">
        <v>1</v>
      </c>
      <c r="T9" s="7">
        <f>IF(S9=0,0,(R9/S9))</f>
        <v>100000</v>
      </c>
      <c r="U9" t="b">
        <f>NOT(U8)</f>
        <v>1</v>
      </c>
      <c r="V9" t="s">
        <v>31</v>
      </c>
      <c r="W9"/>
    </row>
    <row r="10" spans="1:23" s="7" customFormat="1" x14ac:dyDescent="0.35">
      <c r="A10"/>
      <c r="B10" s="5"/>
      <c r="C10" s="5"/>
      <c r="D10" s="6"/>
      <c r="E10" s="6"/>
      <c r="H10"/>
      <c r="I10"/>
      <c r="J10"/>
      <c r="K10"/>
      <c r="L10" s="5"/>
      <c r="M10"/>
      <c r="N10"/>
      <c r="O10"/>
      <c r="P10"/>
      <c r="U10"/>
      <c r="V10"/>
      <c r="W10"/>
    </row>
    <row r="11" spans="1:23" s="7" customFormat="1" x14ac:dyDescent="0.35">
      <c r="A11" t="s">
        <v>23</v>
      </c>
      <c r="B11" s="5">
        <v>7</v>
      </c>
      <c r="C11" s="5">
        <v>1</v>
      </c>
      <c r="D11" s="6">
        <v>1</v>
      </c>
      <c r="E11" s="6">
        <v>1</v>
      </c>
      <c r="F11" s="66">
        <v>43895</v>
      </c>
      <c r="G11" s="66">
        <v>43833</v>
      </c>
      <c r="H11" t="s">
        <v>24</v>
      </c>
      <c r="I11" t="s">
        <v>25</v>
      </c>
      <c r="J11" t="s">
        <v>25</v>
      </c>
      <c r="K11" t="s">
        <v>35</v>
      </c>
      <c r="L11" s="5">
        <v>40100</v>
      </c>
      <c r="M11" t="s">
        <v>27</v>
      </c>
      <c r="N11" t="s">
        <v>28</v>
      </c>
      <c r="O11" t="s">
        <v>29</v>
      </c>
      <c r="P11" t="s">
        <v>38</v>
      </c>
      <c r="Q11" s="7">
        <v>-20000</v>
      </c>
      <c r="R11" s="7">
        <f>ABS(Q11)</f>
        <v>20000</v>
      </c>
      <c r="S11" s="7">
        <v>1</v>
      </c>
      <c r="T11" s="7">
        <f>IF(S11=0,0,(R11/S11))</f>
        <v>20000</v>
      </c>
      <c r="U11" t="b">
        <f>Q11&lt;=0</f>
        <v>1</v>
      </c>
      <c r="V11" t="s">
        <v>31</v>
      </c>
      <c r="W11"/>
    </row>
    <row r="12" spans="1:23" s="7" customFormat="1" x14ac:dyDescent="0.35">
      <c r="A12" t="s">
        <v>23</v>
      </c>
      <c r="B12" s="5">
        <v>7</v>
      </c>
      <c r="C12" s="5">
        <v>1</v>
      </c>
      <c r="D12" s="6">
        <v>1</v>
      </c>
      <c r="E12" s="6">
        <v>2</v>
      </c>
      <c r="F12" s="66">
        <v>43895</v>
      </c>
      <c r="G12" s="66">
        <v>43833</v>
      </c>
      <c r="H12" t="s">
        <v>24</v>
      </c>
      <c r="I12" t="s">
        <v>25</v>
      </c>
      <c r="J12" t="s">
        <v>25</v>
      </c>
      <c r="K12" t="s">
        <v>37</v>
      </c>
      <c r="L12" s="5">
        <v>23000</v>
      </c>
      <c r="M12" t="s">
        <v>33</v>
      </c>
      <c r="N12" t="s">
        <v>28</v>
      </c>
      <c r="O12" t="s">
        <v>29</v>
      </c>
      <c r="P12" t="s">
        <v>38</v>
      </c>
      <c r="Q12" s="7">
        <v>-20000</v>
      </c>
      <c r="R12" s="7">
        <f>ABS(Q12)</f>
        <v>20000</v>
      </c>
      <c r="S12" s="7">
        <v>1</v>
      </c>
      <c r="T12" s="7">
        <f>IF(S12=0,0,(R12/S12))</f>
        <v>20000</v>
      </c>
      <c r="U12" t="b">
        <f>NOT(U11)</f>
        <v>0</v>
      </c>
      <c r="V12" t="s">
        <v>31</v>
      </c>
      <c r="W12"/>
    </row>
    <row r="13" spans="1:23" s="7" customFormat="1" x14ac:dyDescent="0.35">
      <c r="A13"/>
      <c r="B13" s="5"/>
      <c r="C13" s="5"/>
      <c r="D13" s="6"/>
      <c r="E13" s="6"/>
      <c r="H13"/>
      <c r="I13"/>
      <c r="J13"/>
      <c r="K13"/>
      <c r="L13" s="5"/>
      <c r="M13"/>
      <c r="N13"/>
      <c r="O13"/>
      <c r="P13"/>
      <c r="U13"/>
      <c r="V13"/>
      <c r="W13"/>
    </row>
    <row r="14" spans="1:23" x14ac:dyDescent="0.35">
      <c r="A14" t="s">
        <v>23</v>
      </c>
      <c r="B14" s="5">
        <v>7</v>
      </c>
      <c r="C14" s="5">
        <v>1</v>
      </c>
      <c r="D14" s="5">
        <v>1</v>
      </c>
      <c r="E14" s="5">
        <v>1</v>
      </c>
      <c r="F14" s="65">
        <v>43895</v>
      </c>
      <c r="G14" s="65">
        <v>43836</v>
      </c>
      <c r="H14" t="s">
        <v>24</v>
      </c>
      <c r="I14" t="s">
        <v>25</v>
      </c>
      <c r="J14" t="s">
        <v>25</v>
      </c>
      <c r="K14" t="s">
        <v>39</v>
      </c>
      <c r="L14" s="5">
        <v>40100</v>
      </c>
      <c r="M14" t="s">
        <v>27</v>
      </c>
      <c r="N14" t="s">
        <v>28</v>
      </c>
      <c r="O14" t="s">
        <v>29</v>
      </c>
      <c r="P14" t="s">
        <v>40</v>
      </c>
      <c r="Q14" s="7">
        <v>1000000</v>
      </c>
      <c r="R14" s="7">
        <f>ABS(Q14)</f>
        <v>1000000</v>
      </c>
      <c r="S14" s="7">
        <v>1</v>
      </c>
      <c r="T14" s="7">
        <f>IF(S14=0,0,(R14/S14))</f>
        <v>1000000</v>
      </c>
      <c r="U14" t="b">
        <f>Q14&lt;=0</f>
        <v>0</v>
      </c>
      <c r="V14" t="s">
        <v>31</v>
      </c>
    </row>
    <row r="15" spans="1:23" x14ac:dyDescent="0.35">
      <c r="A15" t="s">
        <v>23</v>
      </c>
      <c r="B15" s="5">
        <v>7</v>
      </c>
      <c r="C15" s="5">
        <v>1</v>
      </c>
      <c r="D15" s="5">
        <v>1</v>
      </c>
      <c r="E15" s="5">
        <v>2</v>
      </c>
      <c r="F15" s="65">
        <v>43895</v>
      </c>
      <c r="G15" s="65">
        <v>43836</v>
      </c>
      <c r="H15" t="s">
        <v>24</v>
      </c>
      <c r="I15" t="s">
        <v>25</v>
      </c>
      <c r="J15" t="s">
        <v>25</v>
      </c>
      <c r="K15" t="s">
        <v>41</v>
      </c>
      <c r="L15" s="5">
        <v>23000</v>
      </c>
      <c r="M15" t="s">
        <v>33</v>
      </c>
      <c r="N15" t="s">
        <v>28</v>
      </c>
      <c r="O15" t="s">
        <v>29</v>
      </c>
      <c r="P15" t="s">
        <v>40</v>
      </c>
      <c r="Q15" s="7">
        <v>1000000</v>
      </c>
      <c r="R15" s="7">
        <f>ABS(Q15)</f>
        <v>1000000</v>
      </c>
      <c r="S15" s="7">
        <v>1</v>
      </c>
      <c r="T15" s="7">
        <f>IF(S15=0,0,(R15/S15))</f>
        <v>1000000</v>
      </c>
      <c r="U15" t="b">
        <f>NOT(U14)</f>
        <v>1</v>
      </c>
      <c r="V15" t="s">
        <v>31</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25F29-E9C2-4EA8-94DB-0910B9225E7B}">
  <dimension ref="A1:AD482"/>
  <sheetViews>
    <sheetView showGridLines="0" tabSelected="1" topLeftCell="L1" zoomScale="68" zoomScaleNormal="70" workbookViewId="0">
      <pane ySplit="19" topLeftCell="A371" activePane="bottomLeft" state="frozen"/>
      <selection pane="bottomLeft" activeCell="L373" sqref="L373"/>
    </sheetView>
  </sheetViews>
  <sheetFormatPr defaultColWidth="9.1796875" defaultRowHeight="14.5" outlineLevelRow="1" x14ac:dyDescent="0.35"/>
  <cols>
    <col min="1" max="1" width="3.54296875" style="74" hidden="1" customWidth="1"/>
    <col min="2" max="2" width="3" style="74" hidden="1" customWidth="1"/>
    <col min="3" max="3" width="11" style="74" hidden="1" customWidth="1"/>
    <col min="4" max="4" width="10.453125" style="74" hidden="1" customWidth="1"/>
    <col min="5" max="5" width="3.26953125" style="74" hidden="1" customWidth="1"/>
    <col min="6" max="6" width="2.1796875" style="74" hidden="1" customWidth="1"/>
    <col min="7" max="7" width="12.453125" style="74" hidden="1" customWidth="1"/>
    <col min="8" max="8" width="9.453125" style="74" hidden="1" customWidth="1"/>
    <col min="9" max="9" width="3.26953125" style="74" hidden="1" customWidth="1"/>
    <col min="10" max="10" width="2.1796875" style="74" hidden="1" customWidth="1"/>
    <col min="11" max="11" width="12.453125" style="74" hidden="1" customWidth="1"/>
    <col min="12" max="12" width="15.7265625" style="12" customWidth="1"/>
    <col min="13" max="16" width="15.7265625" style="9" customWidth="1"/>
    <col min="17" max="19" width="15.7265625" style="10" customWidth="1"/>
    <col min="20" max="21" width="15.7265625" style="9" customWidth="1"/>
    <col min="22" max="22" width="15.81640625" style="11" customWidth="1"/>
    <col min="23" max="25" width="15.7265625" style="9" customWidth="1"/>
    <col min="26" max="26" width="15.7265625" style="10" customWidth="1"/>
    <col min="27" max="30" width="15.7265625" style="9" customWidth="1"/>
    <col min="31" max="40" width="15.7265625" style="11" customWidth="1"/>
    <col min="41" max="43" width="25.7265625" style="11" customWidth="1"/>
    <col min="44" max="16384" width="9.1796875" style="11"/>
  </cols>
  <sheetData>
    <row r="1" spans="1:30" ht="18.5" x14ac:dyDescent="0.45">
      <c r="A1" s="99" t="s">
        <v>42</v>
      </c>
      <c r="B1" s="100"/>
      <c r="C1" s="100"/>
      <c r="D1" s="100"/>
      <c r="E1" s="100"/>
      <c r="F1" s="100"/>
      <c r="G1" s="100"/>
      <c r="H1" s="100"/>
      <c r="I1" s="100"/>
      <c r="J1" s="100"/>
      <c r="K1" s="101"/>
      <c r="L1" s="8" t="s">
        <v>43</v>
      </c>
    </row>
    <row r="2" spans="1:30" ht="15" thickBot="1" x14ac:dyDescent="0.4"/>
    <row r="3" spans="1:30" ht="15.5" x14ac:dyDescent="0.35">
      <c r="A3" s="75" t="s">
        <v>44</v>
      </c>
      <c r="L3" s="13" t="s">
        <v>45</v>
      </c>
      <c r="M3" s="14"/>
      <c r="N3" s="15"/>
      <c r="O3" s="15"/>
      <c r="P3" s="15"/>
      <c r="Q3" s="16"/>
      <c r="S3" s="17" t="s">
        <v>46</v>
      </c>
      <c r="T3" s="14"/>
      <c r="U3" s="15"/>
      <c r="V3" s="15"/>
      <c r="W3" s="18"/>
      <c r="Y3" s="19" t="s">
        <v>47</v>
      </c>
      <c r="Z3" s="68"/>
      <c r="AA3" s="15"/>
      <c r="AB3" s="15"/>
      <c r="AC3" s="18"/>
      <c r="AD3" s="11"/>
    </row>
    <row r="4" spans="1:30" x14ac:dyDescent="0.35">
      <c r="A4" s="75">
        <v>7</v>
      </c>
      <c r="L4" s="20" t="s">
        <v>0</v>
      </c>
      <c r="M4" s="21"/>
      <c r="N4" s="116" t="s">
        <v>23</v>
      </c>
      <c r="O4" s="116"/>
      <c r="P4" s="116"/>
      <c r="Q4" s="117"/>
      <c r="S4" s="22" t="s">
        <v>48</v>
      </c>
      <c r="T4" s="21"/>
      <c r="U4" s="90">
        <v>25000000</v>
      </c>
      <c r="V4" s="91"/>
      <c r="W4" s="92"/>
      <c r="Y4" s="23" t="s">
        <v>49</v>
      </c>
      <c r="Z4" s="37"/>
      <c r="AA4" s="118" t="s">
        <v>50</v>
      </c>
      <c r="AB4" s="119"/>
      <c r="AC4" s="120"/>
      <c r="AD4" s="11"/>
    </row>
    <row r="5" spans="1:30" x14ac:dyDescent="0.35">
      <c r="L5" s="20" t="s">
        <v>7</v>
      </c>
      <c r="M5" s="21"/>
      <c r="N5" s="116" t="s">
        <v>24</v>
      </c>
      <c r="O5" s="116"/>
      <c r="P5" s="116"/>
      <c r="Q5" s="117"/>
      <c r="S5" s="22" t="s">
        <v>51</v>
      </c>
      <c r="T5" s="21"/>
      <c r="U5" s="93">
        <v>43480</v>
      </c>
      <c r="V5" s="94"/>
      <c r="W5" s="95"/>
      <c r="Y5" s="25" t="s">
        <v>52</v>
      </c>
      <c r="Z5" s="69"/>
      <c r="AA5" s="121">
        <v>0.13</v>
      </c>
      <c r="AB5" s="122"/>
      <c r="AC5" s="123"/>
      <c r="AD5" s="11"/>
    </row>
    <row r="6" spans="1:30" x14ac:dyDescent="0.35">
      <c r="L6" s="20" t="s">
        <v>8</v>
      </c>
      <c r="M6" s="21"/>
      <c r="N6" s="116" t="s">
        <v>25</v>
      </c>
      <c r="O6" s="116"/>
      <c r="P6" s="116"/>
      <c r="Q6" s="117"/>
      <c r="S6" s="22" t="s">
        <v>53</v>
      </c>
      <c r="T6" s="21"/>
      <c r="U6" s="93">
        <v>43895</v>
      </c>
      <c r="V6" s="94"/>
      <c r="W6" s="95"/>
      <c r="Y6" s="25" t="s">
        <v>54</v>
      </c>
      <c r="Z6" s="69"/>
      <c r="AA6" s="121">
        <v>0.19</v>
      </c>
      <c r="AB6" s="122"/>
      <c r="AC6" s="123"/>
      <c r="AD6" s="11"/>
    </row>
    <row r="7" spans="1:30" ht="15" thickBot="1" x14ac:dyDescent="0.4">
      <c r="L7" s="27" t="s">
        <v>9</v>
      </c>
      <c r="M7" s="28"/>
      <c r="N7" s="126" t="s">
        <v>25</v>
      </c>
      <c r="O7" s="126"/>
      <c r="P7" s="126"/>
      <c r="Q7" s="127"/>
      <c r="S7" s="22" t="s">
        <v>55</v>
      </c>
      <c r="T7" s="21"/>
      <c r="U7" s="90" t="b">
        <v>0</v>
      </c>
      <c r="V7" s="91"/>
      <c r="W7" s="92"/>
      <c r="Y7" s="23" t="s">
        <v>56</v>
      </c>
      <c r="Z7" s="37"/>
      <c r="AA7" s="128" t="s">
        <v>57</v>
      </c>
      <c r="AB7" s="129"/>
      <c r="AC7" s="130"/>
      <c r="AD7" s="11"/>
    </row>
    <row r="8" spans="1:30" ht="15.5" x14ac:dyDescent="0.35">
      <c r="L8" s="13" t="s">
        <v>58</v>
      </c>
      <c r="M8" s="14"/>
      <c r="N8" s="29"/>
      <c r="O8" s="29"/>
      <c r="P8" s="29"/>
      <c r="Q8" s="30"/>
      <c r="S8" s="22" t="s">
        <v>59</v>
      </c>
      <c r="T8" s="21"/>
      <c r="U8" s="90" t="b">
        <v>1</v>
      </c>
      <c r="V8" s="91"/>
      <c r="W8" s="92"/>
      <c r="Y8" s="23" t="s">
        <v>60</v>
      </c>
      <c r="Z8" s="37"/>
      <c r="AA8" s="118" t="b">
        <v>0</v>
      </c>
      <c r="AB8" s="119"/>
      <c r="AC8" s="120"/>
      <c r="AD8" s="11"/>
    </row>
    <row r="9" spans="1:30" x14ac:dyDescent="0.35">
      <c r="L9" s="31" t="s">
        <v>61</v>
      </c>
      <c r="M9" s="26"/>
      <c r="N9" s="124">
        <v>43831</v>
      </c>
      <c r="O9" s="124"/>
      <c r="P9" s="124"/>
      <c r="Q9" s="125"/>
      <c r="S9" s="22" t="s">
        <v>62</v>
      </c>
      <c r="T9" s="21"/>
      <c r="U9" s="90" t="b">
        <v>0</v>
      </c>
      <c r="V9" s="91"/>
      <c r="W9" s="92"/>
      <c r="Y9" s="23" t="s">
        <v>63</v>
      </c>
      <c r="Z9" s="37"/>
      <c r="AA9" s="131">
        <v>43506</v>
      </c>
      <c r="AB9" s="132"/>
      <c r="AC9" s="133"/>
      <c r="AD9" s="11"/>
    </row>
    <row r="10" spans="1:30" ht="15" thickBot="1" x14ac:dyDescent="0.4">
      <c r="L10" s="31" t="s">
        <v>64</v>
      </c>
      <c r="M10" s="26"/>
      <c r="N10" s="124">
        <v>43895</v>
      </c>
      <c r="O10" s="124"/>
      <c r="P10" s="124"/>
      <c r="Q10" s="125"/>
      <c r="S10" s="22" t="s">
        <v>65</v>
      </c>
      <c r="T10" s="21"/>
      <c r="U10" s="90" t="s">
        <v>66</v>
      </c>
      <c r="V10" s="91"/>
      <c r="W10" s="92"/>
      <c r="Y10" s="32" t="s">
        <v>67</v>
      </c>
      <c r="Z10" s="70"/>
      <c r="AA10" s="121">
        <v>0.13</v>
      </c>
      <c r="AB10" s="122"/>
      <c r="AC10" s="123"/>
      <c r="AD10" s="11"/>
    </row>
    <row r="11" spans="1:30" ht="15" thickBot="1" x14ac:dyDescent="0.4">
      <c r="L11" s="89" t="s">
        <v>68</v>
      </c>
      <c r="M11" s="88"/>
      <c r="N11" s="105">
        <v>43830</v>
      </c>
      <c r="O11" s="105"/>
      <c r="P11" s="105"/>
      <c r="Q11" s="106"/>
      <c r="S11" s="87" t="s">
        <v>69</v>
      </c>
      <c r="T11" s="88"/>
      <c r="U11" s="84" t="s">
        <v>70</v>
      </c>
      <c r="V11" s="85"/>
      <c r="W11" s="86"/>
      <c r="X11" s="21"/>
      <c r="Y11" s="21"/>
      <c r="Z11" s="21"/>
      <c r="AA11" s="21"/>
      <c r="AB11" s="21"/>
      <c r="AC11" s="21"/>
      <c r="AD11" s="21"/>
    </row>
    <row r="12" spans="1:30" x14ac:dyDescent="0.35">
      <c r="N12" s="80"/>
    </row>
    <row r="13" spans="1:30" ht="16" thickBot="1" x14ac:dyDescent="0.4">
      <c r="L13" s="33" t="s">
        <v>71</v>
      </c>
      <c r="M13" s="24"/>
      <c r="N13" s="24"/>
      <c r="P13" s="34"/>
      <c r="Q13" s="35"/>
      <c r="R13" s="35"/>
      <c r="S13" s="35"/>
      <c r="T13" s="34"/>
      <c r="U13" s="34"/>
      <c r="W13" s="34"/>
      <c r="X13" s="34"/>
      <c r="Y13" s="34"/>
      <c r="Z13" s="35"/>
      <c r="AA13" s="34"/>
      <c r="AB13" s="34"/>
      <c r="AC13" s="34"/>
      <c r="AD13" s="34"/>
    </row>
    <row r="14" spans="1:30" ht="16" thickBot="1" x14ac:dyDescent="0.4">
      <c r="C14" s="38">
        <f>SUM(C371:C435)</f>
        <v>561961.11111111077</v>
      </c>
      <c r="G14" s="38">
        <f>SUM(G371:G435)</f>
        <v>833877.77777777682</v>
      </c>
      <c r="K14" s="38">
        <f>SUM(K371:K435)</f>
        <v>3276077.7777778022</v>
      </c>
      <c r="L14" s="36" t="s">
        <v>72</v>
      </c>
      <c r="M14" s="24"/>
      <c r="N14" s="24"/>
      <c r="O14" s="24"/>
      <c r="P14" s="24"/>
      <c r="Q14" s="37"/>
      <c r="R14" s="37"/>
      <c r="S14" s="37"/>
      <c r="T14" s="38">
        <f>SUM(T371:T435)</f>
        <v>589152.77777777717</v>
      </c>
      <c r="U14" s="26"/>
      <c r="V14" s="38">
        <f>SUM(V371:V435)</f>
        <v>561961.11111111077</v>
      </c>
      <c r="W14" s="26"/>
      <c r="X14" s="38">
        <f>SUM(X371:X435)</f>
        <v>0</v>
      </c>
      <c r="Y14" s="37"/>
      <c r="Z14" s="38">
        <f>SUM(Z371:Z435)</f>
        <v>589152.77777777717</v>
      </c>
      <c r="AA14" s="24"/>
      <c r="AB14" s="24"/>
      <c r="AC14" s="38">
        <f>SUM(AC371:AC435)</f>
        <v>0</v>
      </c>
      <c r="AD14" s="11"/>
    </row>
    <row r="15" spans="1:30" hidden="1" x14ac:dyDescent="0.35">
      <c r="Y15" s="10"/>
      <c r="Z15" s="9"/>
      <c r="AD15" s="11"/>
    </row>
    <row r="16" spans="1:30" ht="21" hidden="1" x14ac:dyDescent="0.35">
      <c r="L16" s="39" t="s">
        <v>73</v>
      </c>
      <c r="M16" s="40"/>
      <c r="N16" s="40"/>
      <c r="O16" s="40"/>
      <c r="P16" s="40"/>
      <c r="Q16" s="41"/>
      <c r="R16" s="41"/>
      <c r="S16" s="41"/>
      <c r="T16" s="42" t="s">
        <v>26</v>
      </c>
      <c r="V16" s="72" t="s">
        <v>74</v>
      </c>
      <c r="W16" s="42" t="s">
        <v>35</v>
      </c>
      <c r="X16" s="44"/>
      <c r="Y16" s="71"/>
      <c r="Z16" s="42" t="s">
        <v>34</v>
      </c>
      <c r="AA16" s="43"/>
      <c r="AB16" s="42" t="s">
        <v>39</v>
      </c>
      <c r="AC16" s="40"/>
      <c r="AD16" s="11"/>
    </row>
    <row r="17" spans="1:30" ht="21" hidden="1" x14ac:dyDescent="0.35">
      <c r="A17" s="102" t="s">
        <v>75</v>
      </c>
      <c r="B17" s="103"/>
      <c r="C17" s="103"/>
      <c r="D17" s="103"/>
      <c r="E17" s="103"/>
      <c r="F17" s="103"/>
      <c r="G17" s="103"/>
      <c r="H17" s="103"/>
      <c r="I17" s="103"/>
      <c r="J17" s="103"/>
      <c r="K17" s="104"/>
      <c r="L17" s="39" t="s">
        <v>76</v>
      </c>
      <c r="M17" s="40"/>
      <c r="N17" s="40"/>
      <c r="O17" s="40"/>
      <c r="P17" s="40"/>
      <c r="Q17" s="41"/>
      <c r="R17" s="41"/>
      <c r="S17" s="41"/>
      <c r="T17" s="45" t="s">
        <v>32</v>
      </c>
      <c r="V17" s="73" t="s">
        <v>77</v>
      </c>
      <c r="W17" s="45" t="s">
        <v>37</v>
      </c>
      <c r="X17" s="44"/>
      <c r="Y17" s="82" t="s">
        <v>78</v>
      </c>
      <c r="Z17" s="45" t="s">
        <v>26</v>
      </c>
      <c r="AA17" s="43"/>
      <c r="AB17" s="45" t="s">
        <v>41</v>
      </c>
      <c r="AC17" s="40"/>
      <c r="AD17" s="11"/>
    </row>
    <row r="18" spans="1:30" ht="29" x14ac:dyDescent="0.35">
      <c r="A18" s="107" t="s">
        <v>70</v>
      </c>
      <c r="B18" s="108"/>
      <c r="C18" s="109"/>
      <c r="D18" s="110" t="s">
        <v>79</v>
      </c>
      <c r="E18" s="111"/>
      <c r="F18" s="111"/>
      <c r="G18" s="112"/>
      <c r="H18" s="113" t="s">
        <v>80</v>
      </c>
      <c r="I18" s="114"/>
      <c r="J18" s="114"/>
      <c r="K18" s="115"/>
      <c r="L18" s="46" t="s">
        <v>81</v>
      </c>
      <c r="M18" s="47" t="s">
        <v>82</v>
      </c>
      <c r="N18" s="48" t="s">
        <v>83</v>
      </c>
      <c r="O18" s="48" t="s">
        <v>84</v>
      </c>
      <c r="P18" s="48" t="s">
        <v>85</v>
      </c>
      <c r="Q18" s="49" t="s">
        <v>52</v>
      </c>
      <c r="R18" s="49" t="s">
        <v>54</v>
      </c>
      <c r="S18" s="50" t="s">
        <v>86</v>
      </c>
      <c r="T18" s="51" t="s">
        <v>87</v>
      </c>
      <c r="U18" s="51" t="s">
        <v>88</v>
      </c>
      <c r="V18" s="79" t="s">
        <v>89</v>
      </c>
      <c r="W18" s="52" t="s">
        <v>37</v>
      </c>
      <c r="X18" s="81" t="s">
        <v>90</v>
      </c>
      <c r="Y18" s="82" t="s">
        <v>91</v>
      </c>
      <c r="Z18" s="83" t="s">
        <v>92</v>
      </c>
      <c r="AA18" s="47" t="s">
        <v>93</v>
      </c>
      <c r="AB18" s="52" t="s">
        <v>41</v>
      </c>
      <c r="AC18" s="48" t="s">
        <v>94</v>
      </c>
      <c r="AD18" s="11"/>
    </row>
    <row r="19" spans="1:30" ht="1.1499999999999999" customHeight="1" x14ac:dyDescent="0.35">
      <c r="L19" s="53"/>
      <c r="M19" s="54"/>
      <c r="N19" s="54"/>
      <c r="O19" s="54"/>
      <c r="P19" s="54"/>
      <c r="Q19" s="55"/>
      <c r="R19" s="55"/>
      <c r="S19" s="55"/>
      <c r="T19" s="54"/>
      <c r="U19" s="54"/>
      <c r="W19" s="54"/>
      <c r="X19" s="54"/>
      <c r="Y19" s="55"/>
      <c r="Z19" s="54"/>
      <c r="AA19" s="54"/>
      <c r="AB19" s="54"/>
      <c r="AC19" s="54"/>
      <c r="AD19" s="11"/>
    </row>
    <row r="20" spans="1:30" ht="14.5" hidden="1" customHeight="1" outlineLevel="1" x14ac:dyDescent="0.35">
      <c r="A20" s="75" t="str">
        <f t="shared" ref="A20:A83" si="0">IF(DAY(L20)=DAY(nFirst),"Yes","No")</f>
        <v>Yes</v>
      </c>
      <c r="B20" s="75">
        <f>IF(A20="Yes",B19+1,B19)</f>
        <v>1</v>
      </c>
      <c r="C20" s="76">
        <f t="shared" ref="C20:C83" si="1">IF(A20="Yes",SUMIFS($T$20:$T$435,$B$20:$B$435,B20-1),0)</f>
        <v>0</v>
      </c>
      <c r="D20" s="77">
        <f t="shared" ref="D20:D83" si="2">IF(AND(L20&gt;L19,L20&lt;D19),D19,EDATE(L20,3))</f>
        <v>43570</v>
      </c>
      <c r="E20" s="77" t="str">
        <f t="shared" ref="E20:E83" si="3">IF(D20=D19,"No","Yes")</f>
        <v>Yes</v>
      </c>
      <c r="F20" s="75">
        <f>IF(E20="Yes",F19+1,F19)</f>
        <v>1</v>
      </c>
      <c r="G20" s="78">
        <f>IF(E20="Yes",SUMIFS($T$20:$T$435,$F$20:$F$435,F20-1),0)</f>
        <v>0</v>
      </c>
      <c r="H20" s="77">
        <f>IF(AND(L20&gt;L19,L20&lt;H19),H19,EDATE(L20,12))</f>
        <v>43845</v>
      </c>
      <c r="I20" s="77" t="str">
        <f>IF(H20=H19,"No","Yes")</f>
        <v>Yes</v>
      </c>
      <c r="J20" s="75">
        <f>IF(I20="Yes",J19+1,J19)</f>
        <v>1</v>
      </c>
      <c r="K20" s="78">
        <f t="shared" ref="K20:K83" si="4">IF(I20="Yes",SUMIFS($T$20:$T$435,$J$20:$J$435,J20-1),0)</f>
        <v>0</v>
      </c>
      <c r="L20" s="56">
        <v>43480</v>
      </c>
      <c r="M20" s="57">
        <f>M19+N20+O20+P20</f>
        <v>25000000</v>
      </c>
      <c r="N20" s="58">
        <v>25000000</v>
      </c>
      <c r="O20" s="58"/>
      <c r="P20" s="58"/>
      <c r="Q20" s="59">
        <v>0.12</v>
      </c>
      <c r="R20" s="59">
        <v>0</v>
      </c>
      <c r="S20" s="60">
        <f>Q20+R20</f>
        <v>0.12</v>
      </c>
      <c r="T20" s="57">
        <f>M20*S20*(1/360)</f>
        <v>8333.3333333333339</v>
      </c>
      <c r="U20" s="57">
        <f t="shared" ref="U20:U83" si="5">T20+U19+W19+X19</f>
        <v>8333.3333333333339</v>
      </c>
      <c r="V20" s="67">
        <f t="shared" ref="V20:V83" si="6">IF(rngFrequency="Monthly",C20,IF(rngFrequency="Quarterly",G20,IF(rngFrequency="Yearly",K20,FALSE)))</f>
        <v>0</v>
      </c>
      <c r="W20" s="58"/>
      <c r="X20" s="58"/>
      <c r="Y20" s="96">
        <v>0.14000000000000001</v>
      </c>
      <c r="Z20" s="57">
        <f>M20*Y20*(1/360)</f>
        <v>9722.2222222222244</v>
      </c>
      <c r="AA20" s="57">
        <f>Z20+AA19+AB19+AC19</f>
        <v>9722.2222222222244</v>
      </c>
      <c r="AB20" s="58"/>
      <c r="AC20" s="58"/>
      <c r="AD20" s="11"/>
    </row>
    <row r="21" spans="1:30" hidden="1" outlineLevel="1" x14ac:dyDescent="0.35">
      <c r="A21" s="75" t="str">
        <f t="shared" si="0"/>
        <v>No</v>
      </c>
      <c r="B21" s="75">
        <f>IF(A21="Yes",B20+1,B20)</f>
        <v>1</v>
      </c>
      <c r="C21" s="76">
        <f t="shared" si="1"/>
        <v>0</v>
      </c>
      <c r="D21" s="77">
        <f t="shared" si="2"/>
        <v>43570</v>
      </c>
      <c r="E21" s="77" t="str">
        <f t="shared" si="3"/>
        <v>No</v>
      </c>
      <c r="F21" s="75">
        <f t="shared" ref="F21:F84" si="7">IF(E21="Yes",F20+1,F20)</f>
        <v>1</v>
      </c>
      <c r="G21" s="78">
        <f t="shared" ref="G21:G84" si="8">IF(E21="Yes",SUMIFS($T$20:$T$435,$F$20:$F$435,F21-1),0)</f>
        <v>0</v>
      </c>
      <c r="H21" s="77">
        <f>IF(AND(L21&gt;L20,L21&lt;H20),H20,EDATE(L21,12))</f>
        <v>43845</v>
      </c>
      <c r="I21" s="77" t="str">
        <f t="shared" ref="I21:I84" si="9">IF(H21=H20,"No","Yes")</f>
        <v>No</v>
      </c>
      <c r="J21" s="75">
        <f t="shared" ref="J21:J84" si="10">IF(I21="Yes",J20+1,J20)</f>
        <v>1</v>
      </c>
      <c r="K21" s="78">
        <f t="shared" si="4"/>
        <v>0</v>
      </c>
      <c r="L21" s="56">
        <v>43481</v>
      </c>
      <c r="M21" s="57">
        <f t="shared" ref="M21:M84" si="11">M20+N21+O21+P21</f>
        <v>25000000</v>
      </c>
      <c r="N21" s="58"/>
      <c r="O21" s="58"/>
      <c r="P21" s="58"/>
      <c r="Q21" s="59">
        <f t="shared" ref="Q21:Q40" si="12">Q20</f>
        <v>0.12</v>
      </c>
      <c r="R21" s="59">
        <f t="shared" ref="R21:R40" si="13">R20</f>
        <v>0</v>
      </c>
      <c r="S21" s="60">
        <f t="shared" ref="S21:S84" si="14">Q21+R21</f>
        <v>0.12</v>
      </c>
      <c r="T21" s="57">
        <f t="shared" ref="T21:T84" si="15">M21*S21*(1/360)</f>
        <v>8333.3333333333339</v>
      </c>
      <c r="U21" s="57">
        <f t="shared" si="5"/>
        <v>16666.666666666668</v>
      </c>
      <c r="V21" s="67">
        <f t="shared" si="6"/>
        <v>0</v>
      </c>
      <c r="W21" s="58"/>
      <c r="X21" s="58"/>
      <c r="Y21" s="96">
        <f t="shared" ref="Y21:Y36" si="16">Y20</f>
        <v>0.14000000000000001</v>
      </c>
      <c r="Z21" s="57">
        <f t="shared" ref="Z21:Z83" si="17">M21*Y21*(1/360)</f>
        <v>9722.2222222222244</v>
      </c>
      <c r="AA21" s="57">
        <f t="shared" ref="AA21:AA84" si="18">Z21+AA20+AB20+AC20</f>
        <v>19444.444444444449</v>
      </c>
      <c r="AB21" s="58"/>
      <c r="AC21" s="58"/>
      <c r="AD21" s="11"/>
    </row>
    <row r="22" spans="1:30" hidden="1" outlineLevel="1" x14ac:dyDescent="0.35">
      <c r="A22" s="75" t="str">
        <f t="shared" si="0"/>
        <v>No</v>
      </c>
      <c r="B22" s="75">
        <f t="shared" ref="B22:B85" si="19">IF(A22="Yes",B21+1,B21)</f>
        <v>1</v>
      </c>
      <c r="C22" s="76">
        <f t="shared" si="1"/>
        <v>0</v>
      </c>
      <c r="D22" s="77">
        <f>IF(AND(L22&gt;L21,L22&lt;D21),D21,EDATE(L22,3))</f>
        <v>43570</v>
      </c>
      <c r="E22" s="77" t="str">
        <f t="shared" si="3"/>
        <v>No</v>
      </c>
      <c r="F22" s="75">
        <f t="shared" si="7"/>
        <v>1</v>
      </c>
      <c r="G22" s="78">
        <f t="shared" si="8"/>
        <v>0</v>
      </c>
      <c r="H22" s="77">
        <f t="shared" ref="H22:H85" si="20">IF(AND(L22&gt;L21,L22&lt;H21),H21,EDATE(L22,12))</f>
        <v>43845</v>
      </c>
      <c r="I22" s="77" t="str">
        <f t="shared" si="9"/>
        <v>No</v>
      </c>
      <c r="J22" s="75">
        <f t="shared" si="10"/>
        <v>1</v>
      </c>
      <c r="K22" s="78">
        <f t="shared" si="4"/>
        <v>0</v>
      </c>
      <c r="L22" s="56">
        <v>43482</v>
      </c>
      <c r="M22" s="57">
        <f t="shared" si="11"/>
        <v>25000000</v>
      </c>
      <c r="N22" s="58"/>
      <c r="O22" s="58"/>
      <c r="P22" s="58"/>
      <c r="Q22" s="59">
        <f t="shared" si="12"/>
        <v>0.12</v>
      </c>
      <c r="R22" s="59">
        <f t="shared" si="13"/>
        <v>0</v>
      </c>
      <c r="S22" s="60">
        <f t="shared" si="14"/>
        <v>0.12</v>
      </c>
      <c r="T22" s="57">
        <f t="shared" si="15"/>
        <v>8333.3333333333339</v>
      </c>
      <c r="U22" s="57">
        <f t="shared" si="5"/>
        <v>25000</v>
      </c>
      <c r="V22" s="67">
        <f t="shared" si="6"/>
        <v>0</v>
      </c>
      <c r="W22" s="58"/>
      <c r="X22" s="58"/>
      <c r="Y22" s="96">
        <f t="shared" si="16"/>
        <v>0.14000000000000001</v>
      </c>
      <c r="Z22" s="57">
        <f t="shared" si="17"/>
        <v>9722.2222222222244</v>
      </c>
      <c r="AA22" s="57">
        <f t="shared" si="18"/>
        <v>29166.666666666672</v>
      </c>
      <c r="AB22" s="58"/>
      <c r="AC22" s="58"/>
      <c r="AD22" s="11"/>
    </row>
    <row r="23" spans="1:30" hidden="1" outlineLevel="1" x14ac:dyDescent="0.35">
      <c r="A23" s="75" t="str">
        <f t="shared" si="0"/>
        <v>No</v>
      </c>
      <c r="B23" s="75">
        <f t="shared" si="19"/>
        <v>1</v>
      </c>
      <c r="C23" s="76">
        <f t="shared" si="1"/>
        <v>0</v>
      </c>
      <c r="D23" s="77">
        <f t="shared" si="2"/>
        <v>43570</v>
      </c>
      <c r="E23" s="77" t="str">
        <f t="shared" si="3"/>
        <v>No</v>
      </c>
      <c r="F23" s="75">
        <f t="shared" si="7"/>
        <v>1</v>
      </c>
      <c r="G23" s="78">
        <f t="shared" si="8"/>
        <v>0</v>
      </c>
      <c r="H23" s="77">
        <f t="shared" si="20"/>
        <v>43845</v>
      </c>
      <c r="I23" s="77" t="str">
        <f t="shared" si="9"/>
        <v>No</v>
      </c>
      <c r="J23" s="75">
        <f t="shared" si="10"/>
        <v>1</v>
      </c>
      <c r="K23" s="78">
        <f t="shared" si="4"/>
        <v>0</v>
      </c>
      <c r="L23" s="56">
        <v>43483</v>
      </c>
      <c r="M23" s="57">
        <f t="shared" si="11"/>
        <v>25000000</v>
      </c>
      <c r="N23" s="58"/>
      <c r="O23" s="58"/>
      <c r="P23" s="58"/>
      <c r="Q23" s="59">
        <f t="shared" si="12"/>
        <v>0.12</v>
      </c>
      <c r="R23" s="59">
        <f t="shared" si="13"/>
        <v>0</v>
      </c>
      <c r="S23" s="60">
        <f t="shared" si="14"/>
        <v>0.12</v>
      </c>
      <c r="T23" s="57">
        <f t="shared" si="15"/>
        <v>8333.3333333333339</v>
      </c>
      <c r="U23" s="57">
        <f t="shared" si="5"/>
        <v>33333.333333333336</v>
      </c>
      <c r="V23" s="67">
        <f t="shared" si="6"/>
        <v>0</v>
      </c>
      <c r="W23" s="58"/>
      <c r="X23" s="58"/>
      <c r="Y23" s="96">
        <f t="shared" si="16"/>
        <v>0.14000000000000001</v>
      </c>
      <c r="Z23" s="57">
        <f t="shared" si="17"/>
        <v>9722.2222222222244</v>
      </c>
      <c r="AA23" s="57">
        <f t="shared" si="18"/>
        <v>38888.888888888898</v>
      </c>
      <c r="AB23" s="58"/>
      <c r="AC23" s="58"/>
      <c r="AD23" s="11"/>
    </row>
    <row r="24" spans="1:30" hidden="1" outlineLevel="1" x14ac:dyDescent="0.35">
      <c r="A24" s="75" t="str">
        <f t="shared" si="0"/>
        <v>No</v>
      </c>
      <c r="B24" s="75">
        <f t="shared" si="19"/>
        <v>1</v>
      </c>
      <c r="C24" s="76">
        <f t="shared" si="1"/>
        <v>0</v>
      </c>
      <c r="D24" s="77">
        <f t="shared" si="2"/>
        <v>43570</v>
      </c>
      <c r="E24" s="77" t="str">
        <f t="shared" si="3"/>
        <v>No</v>
      </c>
      <c r="F24" s="75">
        <f t="shared" si="7"/>
        <v>1</v>
      </c>
      <c r="G24" s="78">
        <f t="shared" si="8"/>
        <v>0</v>
      </c>
      <c r="H24" s="77">
        <f t="shared" si="20"/>
        <v>43845</v>
      </c>
      <c r="I24" s="77" t="str">
        <f t="shared" si="9"/>
        <v>No</v>
      </c>
      <c r="J24" s="75">
        <f t="shared" si="10"/>
        <v>1</v>
      </c>
      <c r="K24" s="78">
        <f t="shared" si="4"/>
        <v>0</v>
      </c>
      <c r="L24" s="12">
        <v>43484</v>
      </c>
      <c r="M24" s="57">
        <f t="shared" si="11"/>
        <v>25000000</v>
      </c>
      <c r="Q24" s="10">
        <f t="shared" si="12"/>
        <v>0.12</v>
      </c>
      <c r="R24" s="10">
        <f t="shared" si="13"/>
        <v>0</v>
      </c>
      <c r="S24" s="60">
        <f t="shared" si="14"/>
        <v>0.12</v>
      </c>
      <c r="T24" s="57">
        <f>M24*S24*(1/360)</f>
        <v>8333.3333333333339</v>
      </c>
      <c r="U24" s="57">
        <f t="shared" si="5"/>
        <v>41666.666666666672</v>
      </c>
      <c r="V24" s="67">
        <f t="shared" si="6"/>
        <v>0</v>
      </c>
      <c r="Y24" s="97">
        <f t="shared" si="16"/>
        <v>0.14000000000000001</v>
      </c>
      <c r="Z24" s="57">
        <f t="shared" si="17"/>
        <v>9722.2222222222244</v>
      </c>
      <c r="AA24" s="57">
        <f t="shared" si="18"/>
        <v>48611.111111111124</v>
      </c>
      <c r="AD24" s="11"/>
    </row>
    <row r="25" spans="1:30" hidden="1" outlineLevel="1" x14ac:dyDescent="0.35">
      <c r="A25" s="75" t="str">
        <f t="shared" si="0"/>
        <v>No</v>
      </c>
      <c r="B25" s="75">
        <f t="shared" si="19"/>
        <v>1</v>
      </c>
      <c r="C25" s="76">
        <f t="shared" si="1"/>
        <v>0</v>
      </c>
      <c r="D25" s="77">
        <f t="shared" si="2"/>
        <v>43570</v>
      </c>
      <c r="E25" s="77" t="str">
        <f t="shared" si="3"/>
        <v>No</v>
      </c>
      <c r="F25" s="75">
        <f t="shared" si="7"/>
        <v>1</v>
      </c>
      <c r="G25" s="78">
        <f t="shared" si="8"/>
        <v>0</v>
      </c>
      <c r="H25" s="77">
        <f t="shared" si="20"/>
        <v>43845</v>
      </c>
      <c r="I25" s="77" t="str">
        <f t="shared" si="9"/>
        <v>No</v>
      </c>
      <c r="J25" s="75">
        <f t="shared" si="10"/>
        <v>1</v>
      </c>
      <c r="K25" s="78">
        <f t="shared" si="4"/>
        <v>0</v>
      </c>
      <c r="L25" s="12">
        <v>43485</v>
      </c>
      <c r="M25" s="57">
        <f t="shared" si="11"/>
        <v>25000000</v>
      </c>
      <c r="Q25" s="10">
        <f t="shared" si="12"/>
        <v>0.12</v>
      </c>
      <c r="R25" s="10">
        <f t="shared" si="13"/>
        <v>0</v>
      </c>
      <c r="S25" s="60">
        <f t="shared" si="14"/>
        <v>0.12</v>
      </c>
      <c r="T25" s="57">
        <f t="shared" si="15"/>
        <v>8333.3333333333339</v>
      </c>
      <c r="U25" s="57">
        <f t="shared" si="5"/>
        <v>50000.000000000007</v>
      </c>
      <c r="V25" s="67">
        <f t="shared" si="6"/>
        <v>0</v>
      </c>
      <c r="Y25" s="97">
        <f t="shared" si="16"/>
        <v>0.14000000000000001</v>
      </c>
      <c r="Z25" s="57">
        <f t="shared" si="17"/>
        <v>9722.2222222222244</v>
      </c>
      <c r="AA25" s="57">
        <f t="shared" si="18"/>
        <v>58333.33333333335</v>
      </c>
      <c r="AD25" s="11"/>
    </row>
    <row r="26" spans="1:30" hidden="1" outlineLevel="1" x14ac:dyDescent="0.35">
      <c r="A26" s="75" t="str">
        <f t="shared" si="0"/>
        <v>No</v>
      </c>
      <c r="B26" s="75">
        <f t="shared" si="19"/>
        <v>1</v>
      </c>
      <c r="C26" s="76">
        <f t="shared" si="1"/>
        <v>0</v>
      </c>
      <c r="D26" s="77">
        <f t="shared" si="2"/>
        <v>43570</v>
      </c>
      <c r="E26" s="77" t="str">
        <f t="shared" si="3"/>
        <v>No</v>
      </c>
      <c r="F26" s="75">
        <f t="shared" si="7"/>
        <v>1</v>
      </c>
      <c r="G26" s="78">
        <f t="shared" si="8"/>
        <v>0</v>
      </c>
      <c r="H26" s="77">
        <f t="shared" si="20"/>
        <v>43845</v>
      </c>
      <c r="I26" s="77" t="str">
        <f t="shared" si="9"/>
        <v>No</v>
      </c>
      <c r="J26" s="75">
        <f t="shared" si="10"/>
        <v>1</v>
      </c>
      <c r="K26" s="78">
        <f t="shared" si="4"/>
        <v>0</v>
      </c>
      <c r="L26" s="12">
        <v>43486</v>
      </c>
      <c r="M26" s="57">
        <f t="shared" si="11"/>
        <v>25000000</v>
      </c>
      <c r="Q26" s="10">
        <f t="shared" si="12"/>
        <v>0.12</v>
      </c>
      <c r="R26" s="10">
        <f t="shared" si="13"/>
        <v>0</v>
      </c>
      <c r="S26" s="60">
        <f t="shared" si="14"/>
        <v>0.12</v>
      </c>
      <c r="T26" s="57">
        <f t="shared" si="15"/>
        <v>8333.3333333333339</v>
      </c>
      <c r="U26" s="57">
        <f t="shared" si="5"/>
        <v>58333.333333333343</v>
      </c>
      <c r="V26" s="67">
        <f t="shared" si="6"/>
        <v>0</v>
      </c>
      <c r="Y26" s="97">
        <f t="shared" si="16"/>
        <v>0.14000000000000001</v>
      </c>
      <c r="Z26" s="57">
        <f t="shared" si="17"/>
        <v>9722.2222222222244</v>
      </c>
      <c r="AA26" s="57">
        <f t="shared" si="18"/>
        <v>68055.555555555577</v>
      </c>
      <c r="AD26" s="11"/>
    </row>
    <row r="27" spans="1:30" hidden="1" outlineLevel="1" x14ac:dyDescent="0.35">
      <c r="A27" s="75" t="str">
        <f t="shared" si="0"/>
        <v>No</v>
      </c>
      <c r="B27" s="75">
        <f t="shared" si="19"/>
        <v>1</v>
      </c>
      <c r="C27" s="76">
        <f t="shared" si="1"/>
        <v>0</v>
      </c>
      <c r="D27" s="77">
        <f t="shared" si="2"/>
        <v>43570</v>
      </c>
      <c r="E27" s="77" t="str">
        <f t="shared" si="3"/>
        <v>No</v>
      </c>
      <c r="F27" s="75">
        <f t="shared" si="7"/>
        <v>1</v>
      </c>
      <c r="G27" s="78">
        <f t="shared" si="8"/>
        <v>0</v>
      </c>
      <c r="H27" s="77">
        <f t="shared" si="20"/>
        <v>43845</v>
      </c>
      <c r="I27" s="77" t="str">
        <f t="shared" si="9"/>
        <v>No</v>
      </c>
      <c r="J27" s="75">
        <f t="shared" si="10"/>
        <v>1</v>
      </c>
      <c r="K27" s="78">
        <f t="shared" si="4"/>
        <v>0</v>
      </c>
      <c r="L27" s="12">
        <v>43487</v>
      </c>
      <c r="M27" s="57">
        <f t="shared" si="11"/>
        <v>25000000</v>
      </c>
      <c r="Q27" s="10">
        <f t="shared" si="12"/>
        <v>0.12</v>
      </c>
      <c r="R27" s="10">
        <f t="shared" si="13"/>
        <v>0</v>
      </c>
      <c r="S27" s="60">
        <f t="shared" si="14"/>
        <v>0.12</v>
      </c>
      <c r="T27" s="57">
        <f t="shared" si="15"/>
        <v>8333.3333333333339</v>
      </c>
      <c r="U27" s="57">
        <f t="shared" si="5"/>
        <v>66666.666666666672</v>
      </c>
      <c r="V27" s="67">
        <f t="shared" si="6"/>
        <v>0</v>
      </c>
      <c r="Y27" s="97">
        <f t="shared" si="16"/>
        <v>0.14000000000000001</v>
      </c>
      <c r="Z27" s="57">
        <f t="shared" si="17"/>
        <v>9722.2222222222244</v>
      </c>
      <c r="AA27" s="57">
        <f t="shared" si="18"/>
        <v>77777.777777777796</v>
      </c>
      <c r="AD27" s="11"/>
    </row>
    <row r="28" spans="1:30" hidden="1" outlineLevel="1" x14ac:dyDescent="0.35">
      <c r="A28" s="75" t="str">
        <f t="shared" si="0"/>
        <v>No</v>
      </c>
      <c r="B28" s="75">
        <f t="shared" si="19"/>
        <v>1</v>
      </c>
      <c r="C28" s="76">
        <f t="shared" si="1"/>
        <v>0</v>
      </c>
      <c r="D28" s="77">
        <f t="shared" si="2"/>
        <v>43570</v>
      </c>
      <c r="E28" s="77" t="str">
        <f t="shared" si="3"/>
        <v>No</v>
      </c>
      <c r="F28" s="75">
        <f t="shared" si="7"/>
        <v>1</v>
      </c>
      <c r="G28" s="78">
        <f t="shared" si="8"/>
        <v>0</v>
      </c>
      <c r="H28" s="77">
        <f t="shared" si="20"/>
        <v>43845</v>
      </c>
      <c r="I28" s="77" t="str">
        <f t="shared" si="9"/>
        <v>No</v>
      </c>
      <c r="J28" s="75">
        <f t="shared" si="10"/>
        <v>1</v>
      </c>
      <c r="K28" s="78">
        <f t="shared" si="4"/>
        <v>0</v>
      </c>
      <c r="L28" s="12">
        <v>43488</v>
      </c>
      <c r="M28" s="57">
        <f t="shared" si="11"/>
        <v>25000000</v>
      </c>
      <c r="Q28" s="10">
        <f t="shared" si="12"/>
        <v>0.12</v>
      </c>
      <c r="R28" s="10">
        <f t="shared" si="13"/>
        <v>0</v>
      </c>
      <c r="S28" s="60">
        <f t="shared" si="14"/>
        <v>0.12</v>
      </c>
      <c r="T28" s="57">
        <f t="shared" si="15"/>
        <v>8333.3333333333339</v>
      </c>
      <c r="U28" s="57">
        <f t="shared" si="5"/>
        <v>75000</v>
      </c>
      <c r="V28" s="67">
        <f t="shared" si="6"/>
        <v>0</v>
      </c>
      <c r="Y28" s="97">
        <f t="shared" si="16"/>
        <v>0.14000000000000001</v>
      </c>
      <c r="Z28" s="57">
        <f t="shared" si="17"/>
        <v>9722.2222222222244</v>
      </c>
      <c r="AA28" s="57">
        <f t="shared" si="18"/>
        <v>87500.000000000015</v>
      </c>
      <c r="AD28" s="11"/>
    </row>
    <row r="29" spans="1:30" hidden="1" outlineLevel="1" x14ac:dyDescent="0.35">
      <c r="A29" s="75" t="str">
        <f t="shared" si="0"/>
        <v>No</v>
      </c>
      <c r="B29" s="75">
        <f t="shared" si="19"/>
        <v>1</v>
      </c>
      <c r="C29" s="76">
        <f t="shared" si="1"/>
        <v>0</v>
      </c>
      <c r="D29" s="77">
        <f t="shared" si="2"/>
        <v>43570</v>
      </c>
      <c r="E29" s="77" t="str">
        <f t="shared" si="3"/>
        <v>No</v>
      </c>
      <c r="F29" s="75">
        <f t="shared" si="7"/>
        <v>1</v>
      </c>
      <c r="G29" s="78">
        <f t="shared" si="8"/>
        <v>0</v>
      </c>
      <c r="H29" s="77">
        <f t="shared" si="20"/>
        <v>43845</v>
      </c>
      <c r="I29" s="77" t="str">
        <f t="shared" si="9"/>
        <v>No</v>
      </c>
      <c r="J29" s="75">
        <f t="shared" si="10"/>
        <v>1</v>
      </c>
      <c r="K29" s="78">
        <f t="shared" si="4"/>
        <v>0</v>
      </c>
      <c r="L29" s="12">
        <v>43489</v>
      </c>
      <c r="M29" s="57">
        <f t="shared" si="11"/>
        <v>25000000</v>
      </c>
      <c r="Q29" s="10">
        <f t="shared" si="12"/>
        <v>0.12</v>
      </c>
      <c r="R29" s="10">
        <f t="shared" si="13"/>
        <v>0</v>
      </c>
      <c r="S29" s="60">
        <f t="shared" si="14"/>
        <v>0.12</v>
      </c>
      <c r="T29" s="57">
        <f t="shared" si="15"/>
        <v>8333.3333333333339</v>
      </c>
      <c r="U29" s="57">
        <f t="shared" si="5"/>
        <v>83333.333333333328</v>
      </c>
      <c r="V29" s="67">
        <f t="shared" si="6"/>
        <v>0</v>
      </c>
      <c r="Y29" s="97">
        <f t="shared" si="16"/>
        <v>0.14000000000000001</v>
      </c>
      <c r="Z29" s="57">
        <f t="shared" si="17"/>
        <v>9722.2222222222244</v>
      </c>
      <c r="AA29" s="57">
        <f t="shared" si="18"/>
        <v>97222.222222222234</v>
      </c>
      <c r="AD29" s="11"/>
    </row>
    <row r="30" spans="1:30" hidden="1" outlineLevel="1" x14ac:dyDescent="0.35">
      <c r="A30" s="75" t="str">
        <f t="shared" si="0"/>
        <v>No</v>
      </c>
      <c r="B30" s="75">
        <f t="shared" si="19"/>
        <v>1</v>
      </c>
      <c r="C30" s="76">
        <f t="shared" si="1"/>
        <v>0</v>
      </c>
      <c r="D30" s="77">
        <f t="shared" si="2"/>
        <v>43570</v>
      </c>
      <c r="E30" s="77" t="str">
        <f t="shared" si="3"/>
        <v>No</v>
      </c>
      <c r="F30" s="75">
        <f t="shared" si="7"/>
        <v>1</v>
      </c>
      <c r="G30" s="78">
        <f t="shared" si="8"/>
        <v>0</v>
      </c>
      <c r="H30" s="77">
        <f t="shared" si="20"/>
        <v>43845</v>
      </c>
      <c r="I30" s="77" t="str">
        <f t="shared" si="9"/>
        <v>No</v>
      </c>
      <c r="J30" s="75">
        <f t="shared" si="10"/>
        <v>1</v>
      </c>
      <c r="K30" s="78">
        <f t="shared" si="4"/>
        <v>0</v>
      </c>
      <c r="L30" s="12">
        <v>43490</v>
      </c>
      <c r="M30" s="57">
        <f t="shared" si="11"/>
        <v>25000000</v>
      </c>
      <c r="Q30" s="10">
        <f t="shared" si="12"/>
        <v>0.12</v>
      </c>
      <c r="R30" s="10">
        <f t="shared" si="13"/>
        <v>0</v>
      </c>
      <c r="S30" s="60">
        <f t="shared" si="14"/>
        <v>0.12</v>
      </c>
      <c r="T30" s="57">
        <f t="shared" si="15"/>
        <v>8333.3333333333339</v>
      </c>
      <c r="U30" s="57">
        <f t="shared" si="5"/>
        <v>91666.666666666657</v>
      </c>
      <c r="V30" s="67">
        <f t="shared" si="6"/>
        <v>0</v>
      </c>
      <c r="Y30" s="97">
        <f t="shared" si="16"/>
        <v>0.14000000000000001</v>
      </c>
      <c r="Z30" s="57">
        <f t="shared" si="17"/>
        <v>9722.2222222222244</v>
      </c>
      <c r="AA30" s="57">
        <f t="shared" si="18"/>
        <v>106944.44444444445</v>
      </c>
      <c r="AD30" s="11"/>
    </row>
    <row r="31" spans="1:30" hidden="1" outlineLevel="1" x14ac:dyDescent="0.35">
      <c r="A31" s="75" t="str">
        <f t="shared" si="0"/>
        <v>No</v>
      </c>
      <c r="B31" s="75">
        <f t="shared" si="19"/>
        <v>1</v>
      </c>
      <c r="C31" s="76">
        <f t="shared" si="1"/>
        <v>0</v>
      </c>
      <c r="D31" s="77">
        <f t="shared" si="2"/>
        <v>43570</v>
      </c>
      <c r="E31" s="77" t="str">
        <f t="shared" si="3"/>
        <v>No</v>
      </c>
      <c r="F31" s="75">
        <f t="shared" si="7"/>
        <v>1</v>
      </c>
      <c r="G31" s="78">
        <f t="shared" si="8"/>
        <v>0</v>
      </c>
      <c r="H31" s="77">
        <f t="shared" si="20"/>
        <v>43845</v>
      </c>
      <c r="I31" s="77" t="str">
        <f t="shared" si="9"/>
        <v>No</v>
      </c>
      <c r="J31" s="75">
        <f t="shared" si="10"/>
        <v>1</v>
      </c>
      <c r="K31" s="78">
        <f t="shared" si="4"/>
        <v>0</v>
      </c>
      <c r="L31" s="12">
        <v>43491</v>
      </c>
      <c r="M31" s="57">
        <f t="shared" si="11"/>
        <v>25000000</v>
      </c>
      <c r="Q31" s="10">
        <f t="shared" si="12"/>
        <v>0.12</v>
      </c>
      <c r="R31" s="10">
        <f t="shared" si="13"/>
        <v>0</v>
      </c>
      <c r="S31" s="60">
        <f t="shared" si="14"/>
        <v>0.12</v>
      </c>
      <c r="T31" s="57">
        <f t="shared" si="15"/>
        <v>8333.3333333333339</v>
      </c>
      <c r="U31" s="57">
        <f t="shared" si="5"/>
        <v>99999.999999999985</v>
      </c>
      <c r="V31" s="67">
        <f t="shared" si="6"/>
        <v>0</v>
      </c>
      <c r="Y31" s="97">
        <f t="shared" si="16"/>
        <v>0.14000000000000001</v>
      </c>
      <c r="Z31" s="57">
        <f t="shared" si="17"/>
        <v>9722.2222222222244</v>
      </c>
      <c r="AA31" s="57">
        <f t="shared" si="18"/>
        <v>116666.66666666667</v>
      </c>
      <c r="AD31" s="11"/>
    </row>
    <row r="32" spans="1:30" hidden="1" outlineLevel="1" x14ac:dyDescent="0.35">
      <c r="A32" s="75" t="str">
        <f t="shared" si="0"/>
        <v>No</v>
      </c>
      <c r="B32" s="75">
        <f t="shared" si="19"/>
        <v>1</v>
      </c>
      <c r="C32" s="76">
        <f t="shared" si="1"/>
        <v>0</v>
      </c>
      <c r="D32" s="77">
        <f t="shared" si="2"/>
        <v>43570</v>
      </c>
      <c r="E32" s="77" t="str">
        <f t="shared" si="3"/>
        <v>No</v>
      </c>
      <c r="F32" s="75">
        <f t="shared" si="7"/>
        <v>1</v>
      </c>
      <c r="G32" s="78">
        <f t="shared" si="8"/>
        <v>0</v>
      </c>
      <c r="H32" s="77">
        <f t="shared" si="20"/>
        <v>43845</v>
      </c>
      <c r="I32" s="77" t="str">
        <f t="shared" si="9"/>
        <v>No</v>
      </c>
      <c r="J32" s="75">
        <f t="shared" si="10"/>
        <v>1</v>
      </c>
      <c r="K32" s="78">
        <f t="shared" si="4"/>
        <v>0</v>
      </c>
      <c r="L32" s="12">
        <v>43492</v>
      </c>
      <c r="M32" s="57">
        <f t="shared" si="11"/>
        <v>25000000</v>
      </c>
      <c r="Q32" s="10">
        <f t="shared" si="12"/>
        <v>0.12</v>
      </c>
      <c r="R32" s="10">
        <f t="shared" si="13"/>
        <v>0</v>
      </c>
      <c r="S32" s="60">
        <f t="shared" si="14"/>
        <v>0.12</v>
      </c>
      <c r="T32" s="57">
        <f t="shared" si="15"/>
        <v>8333.3333333333339</v>
      </c>
      <c r="U32" s="57">
        <f t="shared" si="5"/>
        <v>108333.33333333331</v>
      </c>
      <c r="V32" s="67">
        <f t="shared" si="6"/>
        <v>0</v>
      </c>
      <c r="Y32" s="97">
        <f t="shared" si="16"/>
        <v>0.14000000000000001</v>
      </c>
      <c r="Z32" s="57">
        <f t="shared" si="17"/>
        <v>9722.2222222222244</v>
      </c>
      <c r="AA32" s="57">
        <f t="shared" si="18"/>
        <v>126388.88888888889</v>
      </c>
      <c r="AD32" s="11"/>
    </row>
    <row r="33" spans="1:30" hidden="1" outlineLevel="1" x14ac:dyDescent="0.35">
      <c r="A33" s="75" t="str">
        <f t="shared" si="0"/>
        <v>No</v>
      </c>
      <c r="B33" s="75">
        <f t="shared" si="19"/>
        <v>1</v>
      </c>
      <c r="C33" s="76">
        <f t="shared" si="1"/>
        <v>0</v>
      </c>
      <c r="D33" s="77">
        <f t="shared" si="2"/>
        <v>43570</v>
      </c>
      <c r="E33" s="77" t="str">
        <f t="shared" si="3"/>
        <v>No</v>
      </c>
      <c r="F33" s="75">
        <f t="shared" si="7"/>
        <v>1</v>
      </c>
      <c r="G33" s="78">
        <f t="shared" si="8"/>
        <v>0</v>
      </c>
      <c r="H33" s="77">
        <f t="shared" si="20"/>
        <v>43845</v>
      </c>
      <c r="I33" s="77" t="str">
        <f t="shared" si="9"/>
        <v>No</v>
      </c>
      <c r="J33" s="75">
        <f t="shared" si="10"/>
        <v>1</v>
      </c>
      <c r="K33" s="78">
        <f t="shared" si="4"/>
        <v>0</v>
      </c>
      <c r="L33" s="12">
        <v>43493</v>
      </c>
      <c r="M33" s="57">
        <f t="shared" si="11"/>
        <v>25000000</v>
      </c>
      <c r="Q33" s="10">
        <f t="shared" si="12"/>
        <v>0.12</v>
      </c>
      <c r="R33" s="10">
        <f t="shared" si="13"/>
        <v>0</v>
      </c>
      <c r="S33" s="60">
        <f t="shared" si="14"/>
        <v>0.12</v>
      </c>
      <c r="T33" s="57">
        <f t="shared" si="15"/>
        <v>8333.3333333333339</v>
      </c>
      <c r="U33" s="57">
        <f t="shared" si="5"/>
        <v>116666.66666666664</v>
      </c>
      <c r="V33" s="67">
        <f t="shared" si="6"/>
        <v>0</v>
      </c>
      <c r="Y33" s="97">
        <f t="shared" si="16"/>
        <v>0.14000000000000001</v>
      </c>
      <c r="Z33" s="57">
        <f t="shared" si="17"/>
        <v>9722.2222222222244</v>
      </c>
      <c r="AA33" s="57">
        <f t="shared" si="18"/>
        <v>136111.11111111112</v>
      </c>
      <c r="AD33" s="11"/>
    </row>
    <row r="34" spans="1:30" hidden="1" outlineLevel="1" x14ac:dyDescent="0.35">
      <c r="A34" s="75" t="str">
        <f t="shared" si="0"/>
        <v>No</v>
      </c>
      <c r="B34" s="75">
        <f t="shared" si="19"/>
        <v>1</v>
      </c>
      <c r="C34" s="76">
        <f t="shared" si="1"/>
        <v>0</v>
      </c>
      <c r="D34" s="77">
        <f t="shared" si="2"/>
        <v>43570</v>
      </c>
      <c r="E34" s="77" t="str">
        <f t="shared" si="3"/>
        <v>No</v>
      </c>
      <c r="F34" s="75">
        <f t="shared" si="7"/>
        <v>1</v>
      </c>
      <c r="G34" s="78">
        <f t="shared" si="8"/>
        <v>0</v>
      </c>
      <c r="H34" s="77">
        <f t="shared" si="20"/>
        <v>43845</v>
      </c>
      <c r="I34" s="77" t="str">
        <f t="shared" si="9"/>
        <v>No</v>
      </c>
      <c r="J34" s="75">
        <f t="shared" si="10"/>
        <v>1</v>
      </c>
      <c r="K34" s="78">
        <f t="shared" si="4"/>
        <v>0</v>
      </c>
      <c r="L34" s="12">
        <v>43494</v>
      </c>
      <c r="M34" s="57">
        <f t="shared" si="11"/>
        <v>25000000</v>
      </c>
      <c r="Q34" s="10">
        <f t="shared" si="12"/>
        <v>0.12</v>
      </c>
      <c r="R34" s="10">
        <f t="shared" si="13"/>
        <v>0</v>
      </c>
      <c r="S34" s="60">
        <f t="shared" si="14"/>
        <v>0.12</v>
      </c>
      <c r="T34" s="57">
        <f t="shared" si="15"/>
        <v>8333.3333333333339</v>
      </c>
      <c r="U34" s="57">
        <f t="shared" si="5"/>
        <v>124999.99999999997</v>
      </c>
      <c r="V34" s="67">
        <f t="shared" si="6"/>
        <v>0</v>
      </c>
      <c r="Y34" s="97">
        <f t="shared" si="16"/>
        <v>0.14000000000000001</v>
      </c>
      <c r="Z34" s="57">
        <f t="shared" si="17"/>
        <v>9722.2222222222244</v>
      </c>
      <c r="AA34" s="57">
        <f t="shared" si="18"/>
        <v>145833.33333333334</v>
      </c>
      <c r="AD34" s="11"/>
    </row>
    <row r="35" spans="1:30" hidden="1" outlineLevel="1" x14ac:dyDescent="0.35">
      <c r="A35" s="75" t="str">
        <f t="shared" si="0"/>
        <v>No</v>
      </c>
      <c r="B35" s="75">
        <f t="shared" si="19"/>
        <v>1</v>
      </c>
      <c r="C35" s="76">
        <f t="shared" si="1"/>
        <v>0</v>
      </c>
      <c r="D35" s="77">
        <f t="shared" si="2"/>
        <v>43570</v>
      </c>
      <c r="E35" s="77" t="str">
        <f t="shared" si="3"/>
        <v>No</v>
      </c>
      <c r="F35" s="75">
        <f t="shared" si="7"/>
        <v>1</v>
      </c>
      <c r="G35" s="78">
        <f t="shared" si="8"/>
        <v>0</v>
      </c>
      <c r="H35" s="77">
        <f t="shared" si="20"/>
        <v>43845</v>
      </c>
      <c r="I35" s="77" t="str">
        <f t="shared" si="9"/>
        <v>No</v>
      </c>
      <c r="J35" s="75">
        <f t="shared" si="10"/>
        <v>1</v>
      </c>
      <c r="K35" s="78">
        <f t="shared" si="4"/>
        <v>0</v>
      </c>
      <c r="L35" s="12">
        <v>43495</v>
      </c>
      <c r="M35" s="57">
        <f t="shared" si="11"/>
        <v>25000000</v>
      </c>
      <c r="Q35" s="10">
        <f t="shared" si="12"/>
        <v>0.12</v>
      </c>
      <c r="R35" s="10">
        <f t="shared" si="13"/>
        <v>0</v>
      </c>
      <c r="S35" s="60">
        <f t="shared" si="14"/>
        <v>0.12</v>
      </c>
      <c r="T35" s="57">
        <f t="shared" si="15"/>
        <v>8333.3333333333339</v>
      </c>
      <c r="U35" s="57">
        <f t="shared" si="5"/>
        <v>133333.33333333331</v>
      </c>
      <c r="V35" s="67">
        <f t="shared" si="6"/>
        <v>0</v>
      </c>
      <c r="Y35" s="97">
        <f t="shared" si="16"/>
        <v>0.14000000000000001</v>
      </c>
      <c r="Z35" s="57">
        <f t="shared" si="17"/>
        <v>9722.2222222222244</v>
      </c>
      <c r="AA35" s="57">
        <f t="shared" si="18"/>
        <v>155555.55555555556</v>
      </c>
      <c r="AD35" s="11"/>
    </row>
    <row r="36" spans="1:30" hidden="1" outlineLevel="1" x14ac:dyDescent="0.35">
      <c r="A36" s="75" t="str">
        <f t="shared" si="0"/>
        <v>No</v>
      </c>
      <c r="B36" s="75">
        <f t="shared" si="19"/>
        <v>1</v>
      </c>
      <c r="C36" s="76">
        <f t="shared" si="1"/>
        <v>0</v>
      </c>
      <c r="D36" s="77">
        <f t="shared" si="2"/>
        <v>43570</v>
      </c>
      <c r="E36" s="77" t="str">
        <f t="shared" si="3"/>
        <v>No</v>
      </c>
      <c r="F36" s="75">
        <f t="shared" si="7"/>
        <v>1</v>
      </c>
      <c r="G36" s="78">
        <f t="shared" si="8"/>
        <v>0</v>
      </c>
      <c r="H36" s="77">
        <f t="shared" si="20"/>
        <v>43845</v>
      </c>
      <c r="I36" s="77" t="str">
        <f t="shared" si="9"/>
        <v>No</v>
      </c>
      <c r="J36" s="75">
        <f t="shared" si="10"/>
        <v>1</v>
      </c>
      <c r="K36" s="78">
        <f t="shared" si="4"/>
        <v>0</v>
      </c>
      <c r="L36" s="12">
        <v>43496</v>
      </c>
      <c r="M36" s="57">
        <f t="shared" si="11"/>
        <v>25000000</v>
      </c>
      <c r="Q36" s="10">
        <f t="shared" si="12"/>
        <v>0.12</v>
      </c>
      <c r="R36" s="10">
        <f t="shared" si="13"/>
        <v>0</v>
      </c>
      <c r="S36" s="60">
        <f t="shared" si="14"/>
        <v>0.12</v>
      </c>
      <c r="T36" s="57">
        <f t="shared" si="15"/>
        <v>8333.3333333333339</v>
      </c>
      <c r="U36" s="57">
        <f t="shared" si="5"/>
        <v>141666.66666666666</v>
      </c>
      <c r="V36" s="67">
        <f t="shared" si="6"/>
        <v>0</v>
      </c>
      <c r="X36" s="9">
        <v>135416.67000000001</v>
      </c>
      <c r="Y36" s="97">
        <f t="shared" si="16"/>
        <v>0.14000000000000001</v>
      </c>
      <c r="Z36" s="57">
        <f t="shared" si="17"/>
        <v>9722.2222222222244</v>
      </c>
      <c r="AA36" s="57">
        <f t="shared" si="18"/>
        <v>165277.77777777778</v>
      </c>
      <c r="AD36" s="11"/>
    </row>
    <row r="37" spans="1:30" hidden="1" outlineLevel="1" x14ac:dyDescent="0.35">
      <c r="A37" s="75" t="str">
        <f t="shared" si="0"/>
        <v>No</v>
      </c>
      <c r="B37" s="75">
        <f t="shared" si="19"/>
        <v>1</v>
      </c>
      <c r="C37" s="76">
        <f t="shared" si="1"/>
        <v>0</v>
      </c>
      <c r="D37" s="77">
        <f t="shared" si="2"/>
        <v>43570</v>
      </c>
      <c r="E37" s="77" t="str">
        <f t="shared" si="3"/>
        <v>No</v>
      </c>
      <c r="F37" s="75">
        <f t="shared" si="7"/>
        <v>1</v>
      </c>
      <c r="G37" s="78">
        <f t="shared" si="8"/>
        <v>0</v>
      </c>
      <c r="H37" s="77">
        <f t="shared" si="20"/>
        <v>43845</v>
      </c>
      <c r="I37" s="77" t="str">
        <f t="shared" si="9"/>
        <v>No</v>
      </c>
      <c r="J37" s="75">
        <f t="shared" si="10"/>
        <v>1</v>
      </c>
      <c r="K37" s="78">
        <f t="shared" si="4"/>
        <v>0</v>
      </c>
      <c r="L37" s="12">
        <v>43497</v>
      </c>
      <c r="M37" s="57">
        <f t="shared" si="11"/>
        <v>25000000</v>
      </c>
      <c r="Q37" s="10">
        <f t="shared" si="12"/>
        <v>0.12</v>
      </c>
      <c r="R37" s="10">
        <f t="shared" si="13"/>
        <v>0</v>
      </c>
      <c r="S37" s="60">
        <f t="shared" si="14"/>
        <v>0.12</v>
      </c>
      <c r="T37" s="57">
        <f t="shared" si="15"/>
        <v>8333.3333333333339</v>
      </c>
      <c r="U37" s="57">
        <f t="shared" si="5"/>
        <v>285416.67000000004</v>
      </c>
      <c r="V37" s="67">
        <f t="shared" si="6"/>
        <v>0</v>
      </c>
      <c r="Y37" s="97">
        <v>0.13</v>
      </c>
      <c r="Z37" s="57">
        <f t="shared" si="17"/>
        <v>9027.7777777777774</v>
      </c>
      <c r="AA37" s="57">
        <f t="shared" si="18"/>
        <v>174305.55555555556</v>
      </c>
      <c r="AD37" s="11"/>
    </row>
    <row r="38" spans="1:30" hidden="1" outlineLevel="1" x14ac:dyDescent="0.35">
      <c r="A38" s="75" t="str">
        <f t="shared" si="0"/>
        <v>No</v>
      </c>
      <c r="B38" s="75">
        <f t="shared" si="19"/>
        <v>1</v>
      </c>
      <c r="C38" s="76">
        <f t="shared" si="1"/>
        <v>0</v>
      </c>
      <c r="D38" s="77">
        <f t="shared" si="2"/>
        <v>43570</v>
      </c>
      <c r="E38" s="77" t="str">
        <f t="shared" si="3"/>
        <v>No</v>
      </c>
      <c r="F38" s="75">
        <f t="shared" si="7"/>
        <v>1</v>
      </c>
      <c r="G38" s="78">
        <f t="shared" si="8"/>
        <v>0</v>
      </c>
      <c r="H38" s="77">
        <f t="shared" si="20"/>
        <v>43845</v>
      </c>
      <c r="I38" s="77" t="str">
        <f t="shared" si="9"/>
        <v>No</v>
      </c>
      <c r="J38" s="75">
        <f t="shared" si="10"/>
        <v>1</v>
      </c>
      <c r="K38" s="78">
        <f t="shared" si="4"/>
        <v>0</v>
      </c>
      <c r="L38" s="12">
        <v>43498</v>
      </c>
      <c r="M38" s="57">
        <f t="shared" si="11"/>
        <v>25000000</v>
      </c>
      <c r="Q38" s="10">
        <f t="shared" si="12"/>
        <v>0.12</v>
      </c>
      <c r="R38" s="10">
        <f t="shared" si="13"/>
        <v>0</v>
      </c>
      <c r="S38" s="60">
        <f t="shared" si="14"/>
        <v>0.12</v>
      </c>
      <c r="T38" s="57">
        <f t="shared" si="15"/>
        <v>8333.3333333333339</v>
      </c>
      <c r="U38" s="57">
        <f t="shared" si="5"/>
        <v>293750.00333333336</v>
      </c>
      <c r="V38" s="67">
        <f t="shared" si="6"/>
        <v>0</v>
      </c>
      <c r="Y38" s="97">
        <f t="shared" ref="Y38:Y101" si="21">Y37</f>
        <v>0.13</v>
      </c>
      <c r="Z38" s="57">
        <f t="shared" si="17"/>
        <v>9027.7777777777774</v>
      </c>
      <c r="AA38" s="57">
        <f t="shared" si="18"/>
        <v>183333.33333333334</v>
      </c>
      <c r="AD38" s="11"/>
    </row>
    <row r="39" spans="1:30" hidden="1" outlineLevel="1" x14ac:dyDescent="0.35">
      <c r="A39" s="75" t="str">
        <f t="shared" si="0"/>
        <v>No</v>
      </c>
      <c r="B39" s="75">
        <f t="shared" si="19"/>
        <v>1</v>
      </c>
      <c r="C39" s="76">
        <f t="shared" si="1"/>
        <v>0</v>
      </c>
      <c r="D39" s="77">
        <f t="shared" si="2"/>
        <v>43570</v>
      </c>
      <c r="E39" s="77" t="str">
        <f t="shared" si="3"/>
        <v>No</v>
      </c>
      <c r="F39" s="75">
        <f t="shared" si="7"/>
        <v>1</v>
      </c>
      <c r="G39" s="78">
        <f t="shared" si="8"/>
        <v>0</v>
      </c>
      <c r="H39" s="77">
        <f t="shared" si="20"/>
        <v>43845</v>
      </c>
      <c r="I39" s="77" t="str">
        <f t="shared" si="9"/>
        <v>No</v>
      </c>
      <c r="J39" s="75">
        <f t="shared" si="10"/>
        <v>1</v>
      </c>
      <c r="K39" s="78">
        <f t="shared" si="4"/>
        <v>0</v>
      </c>
      <c r="L39" s="12">
        <v>43499</v>
      </c>
      <c r="M39" s="57">
        <f t="shared" si="11"/>
        <v>25000000</v>
      </c>
      <c r="Q39" s="10">
        <f t="shared" si="12"/>
        <v>0.12</v>
      </c>
      <c r="R39" s="10">
        <f t="shared" si="13"/>
        <v>0</v>
      </c>
      <c r="S39" s="60">
        <f t="shared" si="14"/>
        <v>0.12</v>
      </c>
      <c r="T39" s="57">
        <f t="shared" si="15"/>
        <v>8333.3333333333339</v>
      </c>
      <c r="U39" s="57">
        <f t="shared" si="5"/>
        <v>302083.33666666667</v>
      </c>
      <c r="V39" s="67">
        <f t="shared" si="6"/>
        <v>0</v>
      </c>
      <c r="Y39" s="97">
        <f t="shared" si="21"/>
        <v>0.13</v>
      </c>
      <c r="Z39" s="57">
        <f t="shared" si="17"/>
        <v>9027.7777777777774</v>
      </c>
      <c r="AA39" s="57">
        <f t="shared" si="18"/>
        <v>192361.11111111112</v>
      </c>
      <c r="AD39" s="11"/>
    </row>
    <row r="40" spans="1:30" hidden="1" outlineLevel="1" x14ac:dyDescent="0.35">
      <c r="A40" s="75" t="str">
        <f t="shared" si="0"/>
        <v>No</v>
      </c>
      <c r="B40" s="75">
        <f t="shared" si="19"/>
        <v>1</v>
      </c>
      <c r="C40" s="76">
        <f t="shared" si="1"/>
        <v>0</v>
      </c>
      <c r="D40" s="77">
        <f t="shared" si="2"/>
        <v>43570</v>
      </c>
      <c r="E40" s="77" t="str">
        <f t="shared" si="3"/>
        <v>No</v>
      </c>
      <c r="F40" s="75">
        <f t="shared" si="7"/>
        <v>1</v>
      </c>
      <c r="G40" s="78">
        <f t="shared" si="8"/>
        <v>0</v>
      </c>
      <c r="H40" s="77">
        <f t="shared" si="20"/>
        <v>43845</v>
      </c>
      <c r="I40" s="77" t="str">
        <f t="shared" si="9"/>
        <v>No</v>
      </c>
      <c r="J40" s="75">
        <f t="shared" si="10"/>
        <v>1</v>
      </c>
      <c r="K40" s="78">
        <f t="shared" si="4"/>
        <v>0</v>
      </c>
      <c r="L40" s="12">
        <v>43500</v>
      </c>
      <c r="M40" s="57">
        <f t="shared" si="11"/>
        <v>25000000</v>
      </c>
      <c r="Q40" s="10">
        <f t="shared" si="12"/>
        <v>0.12</v>
      </c>
      <c r="R40" s="10">
        <f t="shared" si="13"/>
        <v>0</v>
      </c>
      <c r="S40" s="60">
        <f t="shared" si="14"/>
        <v>0.12</v>
      </c>
      <c r="T40" s="57">
        <f t="shared" si="15"/>
        <v>8333.3333333333339</v>
      </c>
      <c r="U40" s="57">
        <f t="shared" si="5"/>
        <v>310416.67</v>
      </c>
      <c r="V40" s="67">
        <f t="shared" si="6"/>
        <v>0</v>
      </c>
      <c r="Y40" s="97">
        <f t="shared" si="21"/>
        <v>0.13</v>
      </c>
      <c r="Z40" s="57">
        <f t="shared" si="17"/>
        <v>9027.7777777777774</v>
      </c>
      <c r="AA40" s="57">
        <f t="shared" si="18"/>
        <v>201388.88888888891</v>
      </c>
      <c r="AD40" s="11"/>
    </row>
    <row r="41" spans="1:30" hidden="1" outlineLevel="1" x14ac:dyDescent="0.35">
      <c r="A41" s="75" t="str">
        <f t="shared" si="0"/>
        <v>No</v>
      </c>
      <c r="B41" s="75">
        <f t="shared" si="19"/>
        <v>1</v>
      </c>
      <c r="C41" s="76">
        <f t="shared" si="1"/>
        <v>0</v>
      </c>
      <c r="D41" s="77">
        <f t="shared" si="2"/>
        <v>43570</v>
      </c>
      <c r="E41" s="77" t="str">
        <f t="shared" si="3"/>
        <v>No</v>
      </c>
      <c r="F41" s="75">
        <f t="shared" si="7"/>
        <v>1</v>
      </c>
      <c r="G41" s="78">
        <f t="shared" si="8"/>
        <v>0</v>
      </c>
      <c r="H41" s="77">
        <f t="shared" si="20"/>
        <v>43845</v>
      </c>
      <c r="I41" s="77" t="str">
        <f t="shared" si="9"/>
        <v>No</v>
      </c>
      <c r="J41" s="75">
        <f t="shared" si="10"/>
        <v>1</v>
      </c>
      <c r="K41" s="78">
        <f t="shared" si="4"/>
        <v>0</v>
      </c>
      <c r="L41" s="12">
        <v>43501</v>
      </c>
      <c r="M41" s="57">
        <f t="shared" si="11"/>
        <v>25000000</v>
      </c>
      <c r="Q41" s="10">
        <f t="shared" ref="Q41:Q64" si="22">Q40</f>
        <v>0.12</v>
      </c>
      <c r="S41" s="60">
        <f t="shared" si="14"/>
        <v>0.12</v>
      </c>
      <c r="T41" s="57">
        <f t="shared" si="15"/>
        <v>8333.3333333333339</v>
      </c>
      <c r="U41" s="57">
        <f t="shared" si="5"/>
        <v>318750.0033333333</v>
      </c>
      <c r="V41" s="67">
        <f t="shared" si="6"/>
        <v>0</v>
      </c>
      <c r="Y41" s="97">
        <f t="shared" si="21"/>
        <v>0.13</v>
      </c>
      <c r="Z41" s="57">
        <f t="shared" si="17"/>
        <v>9027.7777777777774</v>
      </c>
      <c r="AA41" s="57">
        <f t="shared" si="18"/>
        <v>210416.66666666669</v>
      </c>
      <c r="AD41" s="11"/>
    </row>
    <row r="42" spans="1:30" hidden="1" outlineLevel="1" x14ac:dyDescent="0.35">
      <c r="A42" s="75" t="str">
        <f t="shared" si="0"/>
        <v>No</v>
      </c>
      <c r="B42" s="75">
        <f t="shared" si="19"/>
        <v>1</v>
      </c>
      <c r="C42" s="76">
        <f t="shared" si="1"/>
        <v>0</v>
      </c>
      <c r="D42" s="77">
        <f t="shared" si="2"/>
        <v>43570</v>
      </c>
      <c r="E42" s="77" t="str">
        <f t="shared" si="3"/>
        <v>No</v>
      </c>
      <c r="F42" s="75">
        <f t="shared" si="7"/>
        <v>1</v>
      </c>
      <c r="G42" s="78">
        <f t="shared" si="8"/>
        <v>0</v>
      </c>
      <c r="H42" s="77">
        <f t="shared" si="20"/>
        <v>43845</v>
      </c>
      <c r="I42" s="77" t="str">
        <f t="shared" si="9"/>
        <v>No</v>
      </c>
      <c r="J42" s="75">
        <f t="shared" si="10"/>
        <v>1</v>
      </c>
      <c r="K42" s="78">
        <f t="shared" si="4"/>
        <v>0</v>
      </c>
      <c r="L42" s="12">
        <v>43502</v>
      </c>
      <c r="M42" s="57">
        <f t="shared" si="11"/>
        <v>25000000</v>
      </c>
      <c r="Q42" s="10">
        <f t="shared" si="22"/>
        <v>0.12</v>
      </c>
      <c r="R42" s="10">
        <f t="shared" ref="R42:R47" si="23">R41</f>
        <v>0</v>
      </c>
      <c r="S42" s="60">
        <f t="shared" si="14"/>
        <v>0.12</v>
      </c>
      <c r="T42" s="57">
        <f t="shared" si="15"/>
        <v>8333.3333333333339</v>
      </c>
      <c r="U42" s="57">
        <f t="shared" si="5"/>
        <v>327083.33666666661</v>
      </c>
      <c r="V42" s="67">
        <f t="shared" si="6"/>
        <v>0</v>
      </c>
      <c r="Y42" s="97">
        <f t="shared" si="21"/>
        <v>0.13</v>
      </c>
      <c r="Z42" s="57">
        <f t="shared" si="17"/>
        <v>9027.7777777777774</v>
      </c>
      <c r="AA42" s="57">
        <f t="shared" si="18"/>
        <v>219444.44444444447</v>
      </c>
      <c r="AD42" s="11"/>
    </row>
    <row r="43" spans="1:30" hidden="1" outlineLevel="1" x14ac:dyDescent="0.35">
      <c r="A43" s="75" t="str">
        <f t="shared" si="0"/>
        <v>No</v>
      </c>
      <c r="B43" s="75">
        <f t="shared" si="19"/>
        <v>1</v>
      </c>
      <c r="C43" s="76">
        <f t="shared" si="1"/>
        <v>0</v>
      </c>
      <c r="D43" s="77">
        <f t="shared" si="2"/>
        <v>43570</v>
      </c>
      <c r="E43" s="77" t="str">
        <f t="shared" si="3"/>
        <v>No</v>
      </c>
      <c r="F43" s="75">
        <f t="shared" si="7"/>
        <v>1</v>
      </c>
      <c r="G43" s="78">
        <f t="shared" si="8"/>
        <v>0</v>
      </c>
      <c r="H43" s="77">
        <f t="shared" si="20"/>
        <v>43845</v>
      </c>
      <c r="I43" s="77" t="str">
        <f t="shared" si="9"/>
        <v>No</v>
      </c>
      <c r="J43" s="75">
        <f t="shared" si="10"/>
        <v>1</v>
      </c>
      <c r="K43" s="78">
        <f t="shared" si="4"/>
        <v>0</v>
      </c>
      <c r="L43" s="12">
        <v>43503</v>
      </c>
      <c r="M43" s="57">
        <f t="shared" si="11"/>
        <v>25000000</v>
      </c>
      <c r="Q43" s="10">
        <f t="shared" si="22"/>
        <v>0.12</v>
      </c>
      <c r="R43" s="10">
        <f t="shared" si="23"/>
        <v>0</v>
      </c>
      <c r="S43" s="60">
        <f t="shared" si="14"/>
        <v>0.12</v>
      </c>
      <c r="T43" s="57">
        <f t="shared" si="15"/>
        <v>8333.3333333333339</v>
      </c>
      <c r="U43" s="57">
        <f t="shared" si="5"/>
        <v>335416.66999999993</v>
      </c>
      <c r="V43" s="67">
        <f t="shared" si="6"/>
        <v>0</v>
      </c>
      <c r="Y43" s="97">
        <f t="shared" si="21"/>
        <v>0.13</v>
      </c>
      <c r="Z43" s="57">
        <f t="shared" si="17"/>
        <v>9027.7777777777774</v>
      </c>
      <c r="AA43" s="57">
        <f t="shared" si="18"/>
        <v>228472.22222222225</v>
      </c>
      <c r="AD43" s="11"/>
    </row>
    <row r="44" spans="1:30" hidden="1" outlineLevel="1" x14ac:dyDescent="0.35">
      <c r="A44" s="75" t="str">
        <f t="shared" si="0"/>
        <v>No</v>
      </c>
      <c r="B44" s="75">
        <f t="shared" si="19"/>
        <v>1</v>
      </c>
      <c r="C44" s="76">
        <f t="shared" si="1"/>
        <v>0</v>
      </c>
      <c r="D44" s="77">
        <f t="shared" si="2"/>
        <v>43570</v>
      </c>
      <c r="E44" s="77" t="str">
        <f t="shared" si="3"/>
        <v>No</v>
      </c>
      <c r="F44" s="75">
        <f t="shared" si="7"/>
        <v>1</v>
      </c>
      <c r="G44" s="78">
        <f t="shared" si="8"/>
        <v>0</v>
      </c>
      <c r="H44" s="77">
        <f t="shared" si="20"/>
        <v>43845</v>
      </c>
      <c r="I44" s="77" t="str">
        <f t="shared" si="9"/>
        <v>No</v>
      </c>
      <c r="J44" s="75">
        <f t="shared" si="10"/>
        <v>1</v>
      </c>
      <c r="K44" s="78">
        <f t="shared" si="4"/>
        <v>0</v>
      </c>
      <c r="L44" s="12">
        <v>43504</v>
      </c>
      <c r="M44" s="57">
        <f t="shared" si="11"/>
        <v>25000000</v>
      </c>
      <c r="Q44" s="10">
        <f t="shared" si="22"/>
        <v>0.12</v>
      </c>
      <c r="R44" s="10">
        <f t="shared" si="23"/>
        <v>0</v>
      </c>
      <c r="S44" s="60">
        <f t="shared" si="14"/>
        <v>0.12</v>
      </c>
      <c r="T44" s="57">
        <f t="shared" si="15"/>
        <v>8333.3333333333339</v>
      </c>
      <c r="U44" s="57">
        <f t="shared" si="5"/>
        <v>343750.00333333324</v>
      </c>
      <c r="V44" s="67">
        <f t="shared" si="6"/>
        <v>0</v>
      </c>
      <c r="Y44" s="97">
        <f t="shared" si="21"/>
        <v>0.13</v>
      </c>
      <c r="Z44" s="57">
        <f t="shared" si="17"/>
        <v>9027.7777777777774</v>
      </c>
      <c r="AA44" s="57">
        <f t="shared" si="18"/>
        <v>237500.00000000003</v>
      </c>
      <c r="AD44" s="11"/>
    </row>
    <row r="45" spans="1:30" hidden="1" outlineLevel="1" x14ac:dyDescent="0.35">
      <c r="A45" s="75" t="str">
        <f t="shared" si="0"/>
        <v>No</v>
      </c>
      <c r="B45" s="75">
        <f t="shared" si="19"/>
        <v>1</v>
      </c>
      <c r="C45" s="76">
        <f t="shared" si="1"/>
        <v>0</v>
      </c>
      <c r="D45" s="77">
        <f t="shared" si="2"/>
        <v>43570</v>
      </c>
      <c r="E45" s="77" t="str">
        <f t="shared" si="3"/>
        <v>No</v>
      </c>
      <c r="F45" s="75">
        <f t="shared" si="7"/>
        <v>1</v>
      </c>
      <c r="G45" s="78">
        <f t="shared" si="8"/>
        <v>0</v>
      </c>
      <c r="H45" s="77">
        <f t="shared" si="20"/>
        <v>43845</v>
      </c>
      <c r="I45" s="77" t="str">
        <f t="shared" si="9"/>
        <v>No</v>
      </c>
      <c r="J45" s="75">
        <f t="shared" si="10"/>
        <v>1</v>
      </c>
      <c r="K45" s="78">
        <f t="shared" si="4"/>
        <v>0</v>
      </c>
      <c r="L45" s="12">
        <v>43505</v>
      </c>
      <c r="M45" s="57">
        <f t="shared" si="11"/>
        <v>25000000</v>
      </c>
      <c r="Q45" s="10">
        <f t="shared" si="22"/>
        <v>0.12</v>
      </c>
      <c r="R45" s="10">
        <f t="shared" si="23"/>
        <v>0</v>
      </c>
      <c r="S45" s="60">
        <f t="shared" si="14"/>
        <v>0.12</v>
      </c>
      <c r="T45" s="57">
        <f t="shared" si="15"/>
        <v>8333.3333333333339</v>
      </c>
      <c r="U45" s="57">
        <f t="shared" si="5"/>
        <v>352083.33666666655</v>
      </c>
      <c r="V45" s="67">
        <f t="shared" si="6"/>
        <v>0</v>
      </c>
      <c r="Y45" s="97">
        <f t="shared" si="21"/>
        <v>0.13</v>
      </c>
      <c r="Z45" s="57">
        <f t="shared" si="17"/>
        <v>9027.7777777777774</v>
      </c>
      <c r="AA45" s="57">
        <f t="shared" si="18"/>
        <v>246527.77777777781</v>
      </c>
      <c r="AD45" s="11"/>
    </row>
    <row r="46" spans="1:30" hidden="1" outlineLevel="1" x14ac:dyDescent="0.35">
      <c r="A46" s="75" t="str">
        <f t="shared" si="0"/>
        <v>No</v>
      </c>
      <c r="B46" s="75">
        <f t="shared" si="19"/>
        <v>1</v>
      </c>
      <c r="C46" s="76">
        <f t="shared" si="1"/>
        <v>0</v>
      </c>
      <c r="D46" s="77">
        <f t="shared" si="2"/>
        <v>43570</v>
      </c>
      <c r="E46" s="77" t="str">
        <f t="shared" si="3"/>
        <v>No</v>
      </c>
      <c r="F46" s="75">
        <f t="shared" si="7"/>
        <v>1</v>
      </c>
      <c r="G46" s="78">
        <f t="shared" si="8"/>
        <v>0</v>
      </c>
      <c r="H46" s="77">
        <f t="shared" si="20"/>
        <v>43845</v>
      </c>
      <c r="I46" s="77" t="str">
        <f t="shared" si="9"/>
        <v>No</v>
      </c>
      <c r="J46" s="75">
        <f t="shared" si="10"/>
        <v>1</v>
      </c>
      <c r="K46" s="78">
        <f t="shared" si="4"/>
        <v>0</v>
      </c>
      <c r="L46" s="12">
        <v>43506</v>
      </c>
      <c r="M46" s="57">
        <f t="shared" si="11"/>
        <v>25100000</v>
      </c>
      <c r="O46" s="9">
        <v>100000</v>
      </c>
      <c r="Q46" s="10">
        <f t="shared" si="22"/>
        <v>0.12</v>
      </c>
      <c r="R46" s="10">
        <f t="shared" si="23"/>
        <v>0</v>
      </c>
      <c r="S46" s="60">
        <f t="shared" si="14"/>
        <v>0.12</v>
      </c>
      <c r="T46" s="57">
        <f t="shared" si="15"/>
        <v>8366.6666666666679</v>
      </c>
      <c r="U46" s="57">
        <f t="shared" si="5"/>
        <v>360450.00333333324</v>
      </c>
      <c r="V46" s="67">
        <f t="shared" si="6"/>
        <v>0</v>
      </c>
      <c r="Y46" s="97">
        <f t="shared" si="21"/>
        <v>0.13</v>
      </c>
      <c r="Z46" s="57">
        <f t="shared" si="17"/>
        <v>9063.8888888888887</v>
      </c>
      <c r="AA46" s="57">
        <f t="shared" si="18"/>
        <v>255591.66666666669</v>
      </c>
      <c r="AD46" s="11"/>
    </row>
    <row r="47" spans="1:30" hidden="1" outlineLevel="1" x14ac:dyDescent="0.35">
      <c r="A47" s="75" t="str">
        <f t="shared" si="0"/>
        <v>No</v>
      </c>
      <c r="B47" s="75">
        <f t="shared" si="19"/>
        <v>1</v>
      </c>
      <c r="C47" s="76">
        <f t="shared" si="1"/>
        <v>0</v>
      </c>
      <c r="D47" s="77">
        <f t="shared" si="2"/>
        <v>43570</v>
      </c>
      <c r="E47" s="77" t="str">
        <f t="shared" si="3"/>
        <v>No</v>
      </c>
      <c r="F47" s="75">
        <f t="shared" si="7"/>
        <v>1</v>
      </c>
      <c r="G47" s="78">
        <f t="shared" si="8"/>
        <v>0</v>
      </c>
      <c r="H47" s="77">
        <f t="shared" si="20"/>
        <v>43845</v>
      </c>
      <c r="I47" s="77" t="str">
        <f t="shared" si="9"/>
        <v>No</v>
      </c>
      <c r="J47" s="75">
        <f t="shared" si="10"/>
        <v>1</v>
      </c>
      <c r="K47" s="78">
        <f t="shared" si="4"/>
        <v>0</v>
      </c>
      <c r="L47" s="12">
        <v>43507</v>
      </c>
      <c r="M47" s="57">
        <f t="shared" si="11"/>
        <v>25100000</v>
      </c>
      <c r="Q47" s="10">
        <f t="shared" si="22"/>
        <v>0.12</v>
      </c>
      <c r="R47" s="10">
        <f t="shared" si="23"/>
        <v>0</v>
      </c>
      <c r="S47" s="60">
        <f t="shared" si="14"/>
        <v>0.12</v>
      </c>
      <c r="T47" s="57">
        <f t="shared" si="15"/>
        <v>8366.6666666666679</v>
      </c>
      <c r="U47" s="57">
        <f t="shared" si="5"/>
        <v>368816.66999999993</v>
      </c>
      <c r="V47" s="67">
        <f t="shared" si="6"/>
        <v>0</v>
      </c>
      <c r="Y47" s="97">
        <f t="shared" si="21"/>
        <v>0.13</v>
      </c>
      <c r="Z47" s="57">
        <f t="shared" si="17"/>
        <v>9063.8888888888887</v>
      </c>
      <c r="AA47" s="57">
        <f t="shared" si="18"/>
        <v>264655.55555555556</v>
      </c>
      <c r="AD47" s="11"/>
    </row>
    <row r="48" spans="1:30" hidden="1" outlineLevel="1" x14ac:dyDescent="0.35">
      <c r="A48" s="75" t="str">
        <f t="shared" si="0"/>
        <v>No</v>
      </c>
      <c r="B48" s="75">
        <f t="shared" si="19"/>
        <v>1</v>
      </c>
      <c r="C48" s="76">
        <f t="shared" si="1"/>
        <v>0</v>
      </c>
      <c r="D48" s="77">
        <f t="shared" si="2"/>
        <v>43570</v>
      </c>
      <c r="E48" s="77" t="str">
        <f t="shared" si="3"/>
        <v>No</v>
      </c>
      <c r="F48" s="75">
        <f t="shared" si="7"/>
        <v>1</v>
      </c>
      <c r="G48" s="78">
        <f t="shared" si="8"/>
        <v>0</v>
      </c>
      <c r="H48" s="77">
        <f t="shared" si="20"/>
        <v>43845</v>
      </c>
      <c r="I48" s="77" t="str">
        <f t="shared" si="9"/>
        <v>No</v>
      </c>
      <c r="J48" s="75">
        <f t="shared" si="10"/>
        <v>1</v>
      </c>
      <c r="K48" s="78">
        <f t="shared" si="4"/>
        <v>0</v>
      </c>
      <c r="L48" s="12">
        <v>43508</v>
      </c>
      <c r="M48" s="57">
        <f t="shared" si="11"/>
        <v>25100000</v>
      </c>
      <c r="Q48" s="10">
        <f t="shared" si="22"/>
        <v>0.12</v>
      </c>
      <c r="S48" s="60">
        <f t="shared" si="14"/>
        <v>0.12</v>
      </c>
      <c r="T48" s="57">
        <f t="shared" si="15"/>
        <v>8366.6666666666679</v>
      </c>
      <c r="U48" s="57">
        <f t="shared" si="5"/>
        <v>377183.33666666661</v>
      </c>
      <c r="V48" s="67">
        <f t="shared" si="6"/>
        <v>0</v>
      </c>
      <c r="Y48" s="97">
        <f t="shared" si="21"/>
        <v>0.13</v>
      </c>
      <c r="Z48" s="57">
        <f t="shared" si="17"/>
        <v>9063.8888888888887</v>
      </c>
      <c r="AA48" s="57">
        <f t="shared" si="18"/>
        <v>273719.44444444444</v>
      </c>
      <c r="AD48" s="11"/>
    </row>
    <row r="49" spans="1:30" hidden="1" outlineLevel="1" x14ac:dyDescent="0.35">
      <c r="A49" s="75" t="str">
        <f t="shared" si="0"/>
        <v>No</v>
      </c>
      <c r="B49" s="75">
        <f t="shared" si="19"/>
        <v>1</v>
      </c>
      <c r="C49" s="76">
        <f t="shared" si="1"/>
        <v>0</v>
      </c>
      <c r="D49" s="77">
        <f t="shared" si="2"/>
        <v>43570</v>
      </c>
      <c r="E49" s="77" t="str">
        <f t="shared" si="3"/>
        <v>No</v>
      </c>
      <c r="F49" s="75">
        <f t="shared" si="7"/>
        <v>1</v>
      </c>
      <c r="G49" s="78">
        <f t="shared" si="8"/>
        <v>0</v>
      </c>
      <c r="H49" s="77">
        <f t="shared" si="20"/>
        <v>43845</v>
      </c>
      <c r="I49" s="77" t="str">
        <f t="shared" si="9"/>
        <v>No</v>
      </c>
      <c r="J49" s="75">
        <f t="shared" si="10"/>
        <v>1</v>
      </c>
      <c r="K49" s="78">
        <f t="shared" si="4"/>
        <v>0</v>
      </c>
      <c r="L49" s="12">
        <v>43509</v>
      </c>
      <c r="M49" s="57">
        <f t="shared" si="11"/>
        <v>25100000</v>
      </c>
      <c r="Q49" s="10">
        <f t="shared" si="22"/>
        <v>0.12</v>
      </c>
      <c r="R49" s="10">
        <f t="shared" ref="R49:R54" si="24">R48</f>
        <v>0</v>
      </c>
      <c r="S49" s="60">
        <f t="shared" si="14"/>
        <v>0.12</v>
      </c>
      <c r="T49" s="57">
        <f t="shared" si="15"/>
        <v>8366.6666666666679</v>
      </c>
      <c r="U49" s="57">
        <f t="shared" si="5"/>
        <v>385550.0033333333</v>
      </c>
      <c r="V49" s="67">
        <f t="shared" si="6"/>
        <v>0</v>
      </c>
      <c r="Y49" s="97">
        <f t="shared" si="21"/>
        <v>0.13</v>
      </c>
      <c r="Z49" s="57">
        <f t="shared" si="17"/>
        <v>9063.8888888888887</v>
      </c>
      <c r="AA49" s="57">
        <f t="shared" si="18"/>
        <v>282783.33333333331</v>
      </c>
      <c r="AD49" s="11"/>
    </row>
    <row r="50" spans="1:30" hidden="1" outlineLevel="1" x14ac:dyDescent="0.35">
      <c r="A50" s="75" t="str">
        <f t="shared" si="0"/>
        <v>No</v>
      </c>
      <c r="B50" s="75">
        <f t="shared" si="19"/>
        <v>1</v>
      </c>
      <c r="C50" s="76">
        <f t="shared" si="1"/>
        <v>0</v>
      </c>
      <c r="D50" s="77">
        <f t="shared" si="2"/>
        <v>43570</v>
      </c>
      <c r="E50" s="77" t="str">
        <f t="shared" si="3"/>
        <v>No</v>
      </c>
      <c r="F50" s="75">
        <f t="shared" si="7"/>
        <v>1</v>
      </c>
      <c r="G50" s="78">
        <f t="shared" si="8"/>
        <v>0</v>
      </c>
      <c r="H50" s="77">
        <f t="shared" si="20"/>
        <v>43845</v>
      </c>
      <c r="I50" s="77" t="str">
        <f t="shared" si="9"/>
        <v>No</v>
      </c>
      <c r="J50" s="75">
        <f t="shared" si="10"/>
        <v>1</v>
      </c>
      <c r="K50" s="78">
        <f t="shared" si="4"/>
        <v>0</v>
      </c>
      <c r="L50" s="12">
        <v>43510</v>
      </c>
      <c r="M50" s="57">
        <f t="shared" si="11"/>
        <v>25100000</v>
      </c>
      <c r="Q50" s="10">
        <f t="shared" si="22"/>
        <v>0.12</v>
      </c>
      <c r="R50" s="10">
        <f t="shared" si="24"/>
        <v>0</v>
      </c>
      <c r="S50" s="60">
        <f t="shared" si="14"/>
        <v>0.12</v>
      </c>
      <c r="T50" s="57">
        <f t="shared" si="15"/>
        <v>8366.6666666666679</v>
      </c>
      <c r="U50" s="57">
        <f t="shared" si="5"/>
        <v>393916.67</v>
      </c>
      <c r="V50" s="67">
        <f t="shared" si="6"/>
        <v>0</v>
      </c>
      <c r="Y50" s="97">
        <f t="shared" si="21"/>
        <v>0.13</v>
      </c>
      <c r="Z50" s="57">
        <f t="shared" si="17"/>
        <v>9063.8888888888887</v>
      </c>
      <c r="AA50" s="57">
        <f t="shared" si="18"/>
        <v>291847.22222222219</v>
      </c>
      <c r="AD50" s="11"/>
    </row>
    <row r="51" spans="1:30" hidden="1" outlineLevel="1" x14ac:dyDescent="0.35">
      <c r="A51" s="75" t="str">
        <f t="shared" si="0"/>
        <v>Yes</v>
      </c>
      <c r="B51" s="75">
        <f t="shared" si="19"/>
        <v>2</v>
      </c>
      <c r="C51" s="76">
        <f t="shared" si="1"/>
        <v>258500.00000000003</v>
      </c>
      <c r="D51" s="77">
        <f t="shared" si="2"/>
        <v>43570</v>
      </c>
      <c r="E51" s="77" t="str">
        <f t="shared" si="3"/>
        <v>No</v>
      </c>
      <c r="F51" s="75">
        <f t="shared" si="7"/>
        <v>1</v>
      </c>
      <c r="G51" s="78">
        <f t="shared" si="8"/>
        <v>0</v>
      </c>
      <c r="H51" s="77">
        <f t="shared" si="20"/>
        <v>43845</v>
      </c>
      <c r="I51" s="77" t="str">
        <f t="shared" si="9"/>
        <v>No</v>
      </c>
      <c r="J51" s="75">
        <f t="shared" si="10"/>
        <v>1</v>
      </c>
      <c r="K51" s="78">
        <f t="shared" si="4"/>
        <v>0</v>
      </c>
      <c r="L51" s="12">
        <v>43511</v>
      </c>
      <c r="M51" s="57">
        <f t="shared" si="11"/>
        <v>25100000</v>
      </c>
      <c r="Q51" s="10">
        <f t="shared" si="22"/>
        <v>0.12</v>
      </c>
      <c r="R51" s="10">
        <f t="shared" si="24"/>
        <v>0</v>
      </c>
      <c r="S51" s="60">
        <f t="shared" si="14"/>
        <v>0.12</v>
      </c>
      <c r="T51" s="57">
        <f t="shared" si="15"/>
        <v>8366.6666666666679</v>
      </c>
      <c r="U51" s="57">
        <f t="shared" si="5"/>
        <v>402283.33666666667</v>
      </c>
      <c r="V51" s="67">
        <f t="shared" si="6"/>
        <v>258500.00000000003</v>
      </c>
      <c r="Y51" s="97">
        <f t="shared" si="21"/>
        <v>0.13</v>
      </c>
      <c r="Z51" s="57">
        <f t="shared" si="17"/>
        <v>9063.8888888888887</v>
      </c>
      <c r="AA51" s="57">
        <f t="shared" si="18"/>
        <v>300911.11111111107</v>
      </c>
      <c r="AD51" s="11"/>
    </row>
    <row r="52" spans="1:30" hidden="1" outlineLevel="1" x14ac:dyDescent="0.35">
      <c r="A52" s="75" t="str">
        <f t="shared" si="0"/>
        <v>No</v>
      </c>
      <c r="B52" s="75">
        <f t="shared" si="19"/>
        <v>2</v>
      </c>
      <c r="C52" s="76">
        <f t="shared" si="1"/>
        <v>0</v>
      </c>
      <c r="D52" s="77">
        <f t="shared" si="2"/>
        <v>43570</v>
      </c>
      <c r="E52" s="77" t="str">
        <f t="shared" si="3"/>
        <v>No</v>
      </c>
      <c r="F52" s="75">
        <f t="shared" si="7"/>
        <v>1</v>
      </c>
      <c r="G52" s="78">
        <f t="shared" si="8"/>
        <v>0</v>
      </c>
      <c r="H52" s="77">
        <f t="shared" si="20"/>
        <v>43845</v>
      </c>
      <c r="I52" s="77" t="str">
        <f t="shared" si="9"/>
        <v>No</v>
      </c>
      <c r="J52" s="75">
        <f t="shared" si="10"/>
        <v>1</v>
      </c>
      <c r="K52" s="78">
        <f t="shared" si="4"/>
        <v>0</v>
      </c>
      <c r="L52" s="12">
        <v>43512</v>
      </c>
      <c r="M52" s="57">
        <f t="shared" si="11"/>
        <v>25100000</v>
      </c>
      <c r="Q52" s="10">
        <f t="shared" si="22"/>
        <v>0.12</v>
      </c>
      <c r="R52" s="10">
        <f t="shared" si="24"/>
        <v>0</v>
      </c>
      <c r="S52" s="60">
        <f>Q52+R52</f>
        <v>0.12</v>
      </c>
      <c r="T52" s="57">
        <f t="shared" si="15"/>
        <v>8366.6666666666679</v>
      </c>
      <c r="U52" s="57">
        <f t="shared" si="5"/>
        <v>410650.00333333336</v>
      </c>
      <c r="V52" s="67">
        <f t="shared" si="6"/>
        <v>0</v>
      </c>
      <c r="Y52" s="97">
        <f t="shared" si="21"/>
        <v>0.13</v>
      </c>
      <c r="Z52" s="57">
        <f t="shared" si="17"/>
        <v>9063.8888888888887</v>
      </c>
      <c r="AA52" s="57">
        <f t="shared" si="18"/>
        <v>309974.99999999994</v>
      </c>
      <c r="AD52" s="11"/>
    </row>
    <row r="53" spans="1:30" hidden="1" outlineLevel="1" x14ac:dyDescent="0.35">
      <c r="A53" s="75" t="str">
        <f t="shared" si="0"/>
        <v>No</v>
      </c>
      <c r="B53" s="75">
        <f t="shared" si="19"/>
        <v>2</v>
      </c>
      <c r="C53" s="76">
        <f t="shared" si="1"/>
        <v>0</v>
      </c>
      <c r="D53" s="77">
        <f t="shared" si="2"/>
        <v>43570</v>
      </c>
      <c r="E53" s="77" t="str">
        <f t="shared" si="3"/>
        <v>No</v>
      </c>
      <c r="F53" s="75">
        <f t="shared" si="7"/>
        <v>1</v>
      </c>
      <c r="G53" s="78">
        <f t="shared" si="8"/>
        <v>0</v>
      </c>
      <c r="H53" s="77">
        <f t="shared" si="20"/>
        <v>43845</v>
      </c>
      <c r="I53" s="77" t="str">
        <f t="shared" si="9"/>
        <v>No</v>
      </c>
      <c r="J53" s="75">
        <f t="shared" si="10"/>
        <v>1</v>
      </c>
      <c r="K53" s="78">
        <f t="shared" si="4"/>
        <v>0</v>
      </c>
      <c r="L53" s="12">
        <v>43513</v>
      </c>
      <c r="M53" s="57">
        <f t="shared" si="11"/>
        <v>25100000</v>
      </c>
      <c r="Q53" s="10">
        <f t="shared" si="22"/>
        <v>0.12</v>
      </c>
      <c r="R53" s="10">
        <f t="shared" si="24"/>
        <v>0</v>
      </c>
      <c r="S53" s="60">
        <f t="shared" si="14"/>
        <v>0.12</v>
      </c>
      <c r="T53" s="57">
        <f t="shared" si="15"/>
        <v>8366.6666666666679</v>
      </c>
      <c r="U53" s="57">
        <f t="shared" si="5"/>
        <v>419016.67000000004</v>
      </c>
      <c r="V53" s="67">
        <f t="shared" si="6"/>
        <v>0</v>
      </c>
      <c r="Y53" s="97">
        <f t="shared" si="21"/>
        <v>0.13</v>
      </c>
      <c r="Z53" s="57">
        <f t="shared" si="17"/>
        <v>9063.8888888888887</v>
      </c>
      <c r="AA53" s="57">
        <f t="shared" si="18"/>
        <v>319038.88888888882</v>
      </c>
      <c r="AD53" s="11"/>
    </row>
    <row r="54" spans="1:30" hidden="1" outlineLevel="1" x14ac:dyDescent="0.35">
      <c r="A54" s="75" t="str">
        <f t="shared" si="0"/>
        <v>No</v>
      </c>
      <c r="B54" s="75">
        <f t="shared" si="19"/>
        <v>2</v>
      </c>
      <c r="C54" s="76">
        <f t="shared" si="1"/>
        <v>0</v>
      </c>
      <c r="D54" s="77">
        <f t="shared" si="2"/>
        <v>43570</v>
      </c>
      <c r="E54" s="77" t="str">
        <f t="shared" si="3"/>
        <v>No</v>
      </c>
      <c r="F54" s="75">
        <f t="shared" si="7"/>
        <v>1</v>
      </c>
      <c r="G54" s="78">
        <f t="shared" si="8"/>
        <v>0</v>
      </c>
      <c r="H54" s="77">
        <f t="shared" si="20"/>
        <v>43845</v>
      </c>
      <c r="I54" s="77" t="str">
        <f t="shared" si="9"/>
        <v>No</v>
      </c>
      <c r="J54" s="75">
        <f t="shared" si="10"/>
        <v>1</v>
      </c>
      <c r="K54" s="78">
        <f t="shared" si="4"/>
        <v>0</v>
      </c>
      <c r="L54" s="12">
        <v>43514</v>
      </c>
      <c r="M54" s="57">
        <f t="shared" si="11"/>
        <v>25100000</v>
      </c>
      <c r="Q54" s="10">
        <f t="shared" si="22"/>
        <v>0.12</v>
      </c>
      <c r="R54" s="10">
        <f t="shared" si="24"/>
        <v>0</v>
      </c>
      <c r="S54" s="60">
        <f t="shared" si="14"/>
        <v>0.12</v>
      </c>
      <c r="T54" s="57">
        <f t="shared" si="15"/>
        <v>8366.6666666666679</v>
      </c>
      <c r="U54" s="57">
        <f t="shared" si="5"/>
        <v>427383.33666666673</v>
      </c>
      <c r="V54" s="67">
        <f t="shared" si="6"/>
        <v>0</v>
      </c>
      <c r="Y54" s="97">
        <f t="shared" si="21"/>
        <v>0.13</v>
      </c>
      <c r="Z54" s="57">
        <f t="shared" si="17"/>
        <v>9063.8888888888887</v>
      </c>
      <c r="AA54" s="57">
        <f t="shared" si="18"/>
        <v>328102.77777777769</v>
      </c>
      <c r="AD54" s="11"/>
    </row>
    <row r="55" spans="1:30" hidden="1" outlineLevel="1" x14ac:dyDescent="0.35">
      <c r="A55" s="75" t="str">
        <f t="shared" si="0"/>
        <v>No</v>
      </c>
      <c r="B55" s="75">
        <f t="shared" si="19"/>
        <v>2</v>
      </c>
      <c r="C55" s="76">
        <f t="shared" si="1"/>
        <v>0</v>
      </c>
      <c r="D55" s="77">
        <f t="shared" si="2"/>
        <v>43570</v>
      </c>
      <c r="E55" s="77" t="str">
        <f t="shared" si="3"/>
        <v>No</v>
      </c>
      <c r="F55" s="75">
        <f t="shared" si="7"/>
        <v>1</v>
      </c>
      <c r="G55" s="78">
        <f t="shared" si="8"/>
        <v>0</v>
      </c>
      <c r="H55" s="77">
        <f t="shared" si="20"/>
        <v>43845</v>
      </c>
      <c r="I55" s="77" t="str">
        <f t="shared" si="9"/>
        <v>No</v>
      </c>
      <c r="J55" s="75">
        <f t="shared" si="10"/>
        <v>1</v>
      </c>
      <c r="K55" s="78">
        <f t="shared" si="4"/>
        <v>0</v>
      </c>
      <c r="L55" s="12">
        <v>43515</v>
      </c>
      <c r="M55" s="57">
        <f t="shared" si="11"/>
        <v>25100000</v>
      </c>
      <c r="Q55" s="10">
        <f t="shared" si="22"/>
        <v>0.12</v>
      </c>
      <c r="S55" s="60">
        <f t="shared" si="14"/>
        <v>0.12</v>
      </c>
      <c r="T55" s="57">
        <f t="shared" si="15"/>
        <v>8366.6666666666679</v>
      </c>
      <c r="U55" s="57">
        <f t="shared" si="5"/>
        <v>435750.00333333341</v>
      </c>
      <c r="V55" s="67">
        <f t="shared" si="6"/>
        <v>0</v>
      </c>
      <c r="Y55" s="97">
        <f t="shared" si="21"/>
        <v>0.13</v>
      </c>
      <c r="Z55" s="57">
        <f t="shared" si="17"/>
        <v>9063.8888888888887</v>
      </c>
      <c r="AA55" s="57">
        <f t="shared" si="18"/>
        <v>337166.66666666657</v>
      </c>
      <c r="AD55" s="11"/>
    </row>
    <row r="56" spans="1:30" hidden="1" outlineLevel="1" x14ac:dyDescent="0.35">
      <c r="A56" s="75" t="str">
        <f t="shared" si="0"/>
        <v>No</v>
      </c>
      <c r="B56" s="75">
        <f t="shared" si="19"/>
        <v>2</v>
      </c>
      <c r="C56" s="76">
        <f t="shared" si="1"/>
        <v>0</v>
      </c>
      <c r="D56" s="77">
        <f t="shared" si="2"/>
        <v>43570</v>
      </c>
      <c r="E56" s="77" t="str">
        <f t="shared" si="3"/>
        <v>No</v>
      </c>
      <c r="F56" s="75">
        <f t="shared" si="7"/>
        <v>1</v>
      </c>
      <c r="G56" s="78">
        <f t="shared" si="8"/>
        <v>0</v>
      </c>
      <c r="H56" s="77">
        <f t="shared" si="20"/>
        <v>43845</v>
      </c>
      <c r="I56" s="77" t="str">
        <f t="shared" si="9"/>
        <v>No</v>
      </c>
      <c r="J56" s="75">
        <f t="shared" si="10"/>
        <v>1</v>
      </c>
      <c r="K56" s="78">
        <f t="shared" si="4"/>
        <v>0</v>
      </c>
      <c r="L56" s="12">
        <v>43516</v>
      </c>
      <c r="M56" s="57">
        <f t="shared" si="11"/>
        <v>25100000</v>
      </c>
      <c r="Q56" s="10">
        <f t="shared" si="22"/>
        <v>0.12</v>
      </c>
      <c r="R56" s="10">
        <f t="shared" ref="R56:R119" si="25">R55</f>
        <v>0</v>
      </c>
      <c r="S56" s="60">
        <f t="shared" si="14"/>
        <v>0.12</v>
      </c>
      <c r="T56" s="57">
        <f t="shared" si="15"/>
        <v>8366.6666666666679</v>
      </c>
      <c r="U56" s="57">
        <f t="shared" si="5"/>
        <v>444116.6700000001</v>
      </c>
      <c r="V56" s="67">
        <f t="shared" si="6"/>
        <v>0</v>
      </c>
      <c r="Y56" s="97">
        <f t="shared" si="21"/>
        <v>0.13</v>
      </c>
      <c r="Z56" s="57">
        <f t="shared" si="17"/>
        <v>9063.8888888888887</v>
      </c>
      <c r="AA56" s="57">
        <f t="shared" si="18"/>
        <v>346230.55555555545</v>
      </c>
      <c r="AD56" s="11"/>
    </row>
    <row r="57" spans="1:30" hidden="1" outlineLevel="1" x14ac:dyDescent="0.35">
      <c r="A57" s="75" t="str">
        <f t="shared" si="0"/>
        <v>No</v>
      </c>
      <c r="B57" s="75">
        <f t="shared" si="19"/>
        <v>2</v>
      </c>
      <c r="C57" s="76">
        <f t="shared" si="1"/>
        <v>0</v>
      </c>
      <c r="D57" s="77">
        <f t="shared" si="2"/>
        <v>43570</v>
      </c>
      <c r="E57" s="77" t="str">
        <f t="shared" si="3"/>
        <v>No</v>
      </c>
      <c r="F57" s="75">
        <f t="shared" si="7"/>
        <v>1</v>
      </c>
      <c r="G57" s="78">
        <f t="shared" si="8"/>
        <v>0</v>
      </c>
      <c r="H57" s="77">
        <f t="shared" si="20"/>
        <v>43845</v>
      </c>
      <c r="I57" s="77" t="str">
        <f t="shared" si="9"/>
        <v>No</v>
      </c>
      <c r="J57" s="75">
        <f t="shared" si="10"/>
        <v>1</v>
      </c>
      <c r="K57" s="78">
        <f t="shared" si="4"/>
        <v>0</v>
      </c>
      <c r="L57" s="12">
        <v>43517</v>
      </c>
      <c r="M57" s="57">
        <f t="shared" si="11"/>
        <v>25100000</v>
      </c>
      <c r="Q57" s="10">
        <f t="shared" si="22"/>
        <v>0.12</v>
      </c>
      <c r="R57" s="10">
        <f t="shared" si="25"/>
        <v>0</v>
      </c>
      <c r="S57" s="60">
        <f t="shared" si="14"/>
        <v>0.12</v>
      </c>
      <c r="T57" s="57">
        <f t="shared" si="15"/>
        <v>8366.6666666666679</v>
      </c>
      <c r="U57" s="57">
        <f t="shared" si="5"/>
        <v>452483.33666666679</v>
      </c>
      <c r="V57" s="67">
        <f t="shared" si="6"/>
        <v>0</v>
      </c>
      <c r="Y57" s="97">
        <f t="shared" si="21"/>
        <v>0.13</v>
      </c>
      <c r="Z57" s="57">
        <f t="shared" si="17"/>
        <v>9063.8888888888887</v>
      </c>
      <c r="AA57" s="57">
        <f t="shared" si="18"/>
        <v>355294.44444444432</v>
      </c>
      <c r="AD57" s="11"/>
    </row>
    <row r="58" spans="1:30" hidden="1" outlineLevel="1" x14ac:dyDescent="0.35">
      <c r="A58" s="75" t="str">
        <f t="shared" si="0"/>
        <v>No</v>
      </c>
      <c r="B58" s="75">
        <f t="shared" si="19"/>
        <v>2</v>
      </c>
      <c r="C58" s="76">
        <f t="shared" si="1"/>
        <v>0</v>
      </c>
      <c r="D58" s="77">
        <f t="shared" si="2"/>
        <v>43570</v>
      </c>
      <c r="E58" s="77" t="str">
        <f t="shared" si="3"/>
        <v>No</v>
      </c>
      <c r="F58" s="75">
        <f t="shared" si="7"/>
        <v>1</v>
      </c>
      <c r="G58" s="78">
        <f t="shared" si="8"/>
        <v>0</v>
      </c>
      <c r="H58" s="77">
        <f t="shared" si="20"/>
        <v>43845</v>
      </c>
      <c r="I58" s="77" t="str">
        <f t="shared" si="9"/>
        <v>No</v>
      </c>
      <c r="J58" s="75">
        <f t="shared" si="10"/>
        <v>1</v>
      </c>
      <c r="K58" s="78">
        <f t="shared" si="4"/>
        <v>0</v>
      </c>
      <c r="L58" s="12">
        <v>43518</v>
      </c>
      <c r="M58" s="57">
        <f t="shared" si="11"/>
        <v>25100000</v>
      </c>
      <c r="Q58" s="10">
        <f t="shared" si="22"/>
        <v>0.12</v>
      </c>
      <c r="R58" s="10">
        <f t="shared" si="25"/>
        <v>0</v>
      </c>
      <c r="S58" s="60">
        <f t="shared" si="14"/>
        <v>0.12</v>
      </c>
      <c r="T58" s="57">
        <f t="shared" si="15"/>
        <v>8366.6666666666679</v>
      </c>
      <c r="U58" s="57">
        <f t="shared" si="5"/>
        <v>460850.00333333347</v>
      </c>
      <c r="V58" s="67">
        <f t="shared" si="6"/>
        <v>0</v>
      </c>
      <c r="Y58" s="97">
        <f t="shared" si="21"/>
        <v>0.13</v>
      </c>
      <c r="Z58" s="57">
        <f t="shared" si="17"/>
        <v>9063.8888888888887</v>
      </c>
      <c r="AA58" s="57">
        <f t="shared" si="18"/>
        <v>364358.3333333332</v>
      </c>
      <c r="AD58" s="11"/>
    </row>
    <row r="59" spans="1:30" hidden="1" outlineLevel="1" x14ac:dyDescent="0.35">
      <c r="A59" s="75" t="str">
        <f t="shared" si="0"/>
        <v>No</v>
      </c>
      <c r="B59" s="75">
        <f t="shared" si="19"/>
        <v>2</v>
      </c>
      <c r="C59" s="76">
        <f t="shared" si="1"/>
        <v>0</v>
      </c>
      <c r="D59" s="77">
        <f t="shared" si="2"/>
        <v>43570</v>
      </c>
      <c r="E59" s="77" t="str">
        <f t="shared" si="3"/>
        <v>No</v>
      </c>
      <c r="F59" s="75">
        <f t="shared" si="7"/>
        <v>1</v>
      </c>
      <c r="G59" s="78">
        <f t="shared" si="8"/>
        <v>0</v>
      </c>
      <c r="H59" s="77">
        <f t="shared" si="20"/>
        <v>43845</v>
      </c>
      <c r="I59" s="77" t="str">
        <f t="shared" si="9"/>
        <v>No</v>
      </c>
      <c r="J59" s="75">
        <f t="shared" si="10"/>
        <v>1</v>
      </c>
      <c r="K59" s="78">
        <f t="shared" si="4"/>
        <v>0</v>
      </c>
      <c r="L59" s="12">
        <v>43519</v>
      </c>
      <c r="M59" s="57">
        <f t="shared" si="11"/>
        <v>25100000</v>
      </c>
      <c r="Q59" s="10">
        <f t="shared" si="22"/>
        <v>0.12</v>
      </c>
      <c r="R59" s="10">
        <f t="shared" si="25"/>
        <v>0</v>
      </c>
      <c r="S59" s="60">
        <f t="shared" si="14"/>
        <v>0.12</v>
      </c>
      <c r="T59" s="57">
        <f t="shared" si="15"/>
        <v>8366.6666666666679</v>
      </c>
      <c r="U59" s="57">
        <f t="shared" si="5"/>
        <v>469216.67000000016</v>
      </c>
      <c r="V59" s="67">
        <f t="shared" si="6"/>
        <v>0</v>
      </c>
      <c r="Y59" s="97">
        <f t="shared" si="21"/>
        <v>0.13</v>
      </c>
      <c r="Z59" s="57">
        <f t="shared" si="17"/>
        <v>9063.8888888888887</v>
      </c>
      <c r="AA59" s="57">
        <f t="shared" si="18"/>
        <v>373422.22222222207</v>
      </c>
      <c r="AD59" s="11"/>
    </row>
    <row r="60" spans="1:30" hidden="1" outlineLevel="1" x14ac:dyDescent="0.35">
      <c r="A60" s="75" t="str">
        <f t="shared" si="0"/>
        <v>No</v>
      </c>
      <c r="B60" s="75">
        <f t="shared" si="19"/>
        <v>2</v>
      </c>
      <c r="C60" s="76">
        <f t="shared" si="1"/>
        <v>0</v>
      </c>
      <c r="D60" s="77">
        <f t="shared" si="2"/>
        <v>43570</v>
      </c>
      <c r="E60" s="77" t="str">
        <f t="shared" si="3"/>
        <v>No</v>
      </c>
      <c r="F60" s="75">
        <f t="shared" si="7"/>
        <v>1</v>
      </c>
      <c r="G60" s="78">
        <f t="shared" si="8"/>
        <v>0</v>
      </c>
      <c r="H60" s="77">
        <f t="shared" si="20"/>
        <v>43845</v>
      </c>
      <c r="I60" s="77" t="str">
        <f t="shared" si="9"/>
        <v>No</v>
      </c>
      <c r="J60" s="75">
        <f t="shared" si="10"/>
        <v>1</v>
      </c>
      <c r="K60" s="78">
        <f t="shared" si="4"/>
        <v>0</v>
      </c>
      <c r="L60" s="12">
        <v>43520</v>
      </c>
      <c r="M60" s="57">
        <f t="shared" si="11"/>
        <v>25100000</v>
      </c>
      <c r="Q60" s="10">
        <f t="shared" si="22"/>
        <v>0.12</v>
      </c>
      <c r="R60" s="10">
        <f t="shared" si="25"/>
        <v>0</v>
      </c>
      <c r="S60" s="60">
        <f t="shared" si="14"/>
        <v>0.12</v>
      </c>
      <c r="T60" s="57">
        <f t="shared" si="15"/>
        <v>8366.6666666666679</v>
      </c>
      <c r="U60" s="57">
        <f t="shared" si="5"/>
        <v>477583.33666666684</v>
      </c>
      <c r="V60" s="67">
        <f t="shared" si="6"/>
        <v>0</v>
      </c>
      <c r="Y60" s="97">
        <f t="shared" si="21"/>
        <v>0.13</v>
      </c>
      <c r="Z60" s="57">
        <f t="shared" si="17"/>
        <v>9063.8888888888887</v>
      </c>
      <c r="AA60" s="57">
        <f t="shared" si="18"/>
        <v>382486.11111111095</v>
      </c>
      <c r="AD60" s="11"/>
    </row>
    <row r="61" spans="1:30" hidden="1" outlineLevel="1" x14ac:dyDescent="0.35">
      <c r="A61" s="75" t="str">
        <f t="shared" si="0"/>
        <v>No</v>
      </c>
      <c r="B61" s="75">
        <f t="shared" si="19"/>
        <v>2</v>
      </c>
      <c r="C61" s="76">
        <f t="shared" si="1"/>
        <v>0</v>
      </c>
      <c r="D61" s="77">
        <f t="shared" si="2"/>
        <v>43570</v>
      </c>
      <c r="E61" s="77" t="str">
        <f t="shared" si="3"/>
        <v>No</v>
      </c>
      <c r="F61" s="75">
        <f t="shared" si="7"/>
        <v>1</v>
      </c>
      <c r="G61" s="78">
        <f t="shared" si="8"/>
        <v>0</v>
      </c>
      <c r="H61" s="77">
        <f t="shared" si="20"/>
        <v>43845</v>
      </c>
      <c r="I61" s="77" t="str">
        <f t="shared" si="9"/>
        <v>No</v>
      </c>
      <c r="J61" s="75">
        <f t="shared" si="10"/>
        <v>1</v>
      </c>
      <c r="K61" s="78">
        <f t="shared" si="4"/>
        <v>0</v>
      </c>
      <c r="L61" s="12">
        <v>43521</v>
      </c>
      <c r="M61" s="57">
        <f t="shared" si="11"/>
        <v>25100000</v>
      </c>
      <c r="Q61" s="10">
        <f t="shared" si="22"/>
        <v>0.12</v>
      </c>
      <c r="R61" s="10">
        <f t="shared" si="25"/>
        <v>0</v>
      </c>
      <c r="S61" s="60">
        <f t="shared" si="14"/>
        <v>0.12</v>
      </c>
      <c r="T61" s="57">
        <f t="shared" si="15"/>
        <v>8366.6666666666679</v>
      </c>
      <c r="U61" s="57">
        <f t="shared" si="5"/>
        <v>485950.00333333353</v>
      </c>
      <c r="V61" s="67">
        <f t="shared" si="6"/>
        <v>0</v>
      </c>
      <c r="Y61" s="97">
        <f t="shared" si="21"/>
        <v>0.13</v>
      </c>
      <c r="Z61" s="57">
        <f t="shared" si="17"/>
        <v>9063.8888888888887</v>
      </c>
      <c r="AA61" s="57">
        <f t="shared" si="18"/>
        <v>391549.99999999983</v>
      </c>
      <c r="AD61" s="11"/>
    </row>
    <row r="62" spans="1:30" hidden="1" outlineLevel="1" x14ac:dyDescent="0.35">
      <c r="A62" s="75" t="str">
        <f t="shared" si="0"/>
        <v>No</v>
      </c>
      <c r="B62" s="75">
        <f t="shared" si="19"/>
        <v>2</v>
      </c>
      <c r="C62" s="76">
        <f t="shared" si="1"/>
        <v>0</v>
      </c>
      <c r="D62" s="77">
        <f t="shared" si="2"/>
        <v>43570</v>
      </c>
      <c r="E62" s="77" t="str">
        <f t="shared" si="3"/>
        <v>No</v>
      </c>
      <c r="F62" s="75">
        <f t="shared" si="7"/>
        <v>1</v>
      </c>
      <c r="G62" s="78">
        <f t="shared" si="8"/>
        <v>0</v>
      </c>
      <c r="H62" s="77">
        <f t="shared" si="20"/>
        <v>43845</v>
      </c>
      <c r="I62" s="77" t="str">
        <f t="shared" si="9"/>
        <v>No</v>
      </c>
      <c r="J62" s="75">
        <f t="shared" si="10"/>
        <v>1</v>
      </c>
      <c r="K62" s="78">
        <f t="shared" si="4"/>
        <v>0</v>
      </c>
      <c r="L62" s="12">
        <v>43522</v>
      </c>
      <c r="M62" s="57">
        <f t="shared" si="11"/>
        <v>25100000</v>
      </c>
      <c r="Q62" s="10">
        <f t="shared" si="22"/>
        <v>0.12</v>
      </c>
      <c r="R62" s="10">
        <f t="shared" si="25"/>
        <v>0</v>
      </c>
      <c r="S62" s="60">
        <f t="shared" si="14"/>
        <v>0.12</v>
      </c>
      <c r="T62" s="57">
        <f t="shared" si="15"/>
        <v>8366.6666666666679</v>
      </c>
      <c r="U62" s="57">
        <f t="shared" si="5"/>
        <v>494316.67000000022</v>
      </c>
      <c r="V62" s="67">
        <f t="shared" si="6"/>
        <v>0</v>
      </c>
      <c r="Y62" s="97">
        <f t="shared" si="21"/>
        <v>0.13</v>
      </c>
      <c r="Z62" s="57">
        <f t="shared" si="17"/>
        <v>9063.8888888888887</v>
      </c>
      <c r="AA62" s="57">
        <f t="shared" si="18"/>
        <v>400613.8888888887</v>
      </c>
      <c r="AD62" s="11"/>
    </row>
    <row r="63" spans="1:30" hidden="1" outlineLevel="1" x14ac:dyDescent="0.35">
      <c r="A63" s="75" t="str">
        <f t="shared" si="0"/>
        <v>No</v>
      </c>
      <c r="B63" s="75">
        <f t="shared" si="19"/>
        <v>2</v>
      </c>
      <c r="C63" s="76">
        <f t="shared" si="1"/>
        <v>0</v>
      </c>
      <c r="D63" s="77">
        <f t="shared" si="2"/>
        <v>43570</v>
      </c>
      <c r="E63" s="77" t="str">
        <f t="shared" si="3"/>
        <v>No</v>
      </c>
      <c r="F63" s="75">
        <f t="shared" si="7"/>
        <v>1</v>
      </c>
      <c r="G63" s="78">
        <f t="shared" si="8"/>
        <v>0</v>
      </c>
      <c r="H63" s="77">
        <f t="shared" si="20"/>
        <v>43845</v>
      </c>
      <c r="I63" s="77" t="str">
        <f t="shared" si="9"/>
        <v>No</v>
      </c>
      <c r="J63" s="75">
        <f t="shared" si="10"/>
        <v>1</v>
      </c>
      <c r="K63" s="78">
        <f t="shared" si="4"/>
        <v>0</v>
      </c>
      <c r="L63" s="12">
        <v>43523</v>
      </c>
      <c r="M63" s="57">
        <f t="shared" si="11"/>
        <v>25100000</v>
      </c>
      <c r="Q63" s="10">
        <f t="shared" si="22"/>
        <v>0.12</v>
      </c>
      <c r="R63" s="10">
        <f t="shared" si="25"/>
        <v>0</v>
      </c>
      <c r="S63" s="60">
        <f t="shared" si="14"/>
        <v>0.12</v>
      </c>
      <c r="T63" s="57">
        <f t="shared" si="15"/>
        <v>8366.6666666666679</v>
      </c>
      <c r="U63" s="57">
        <f t="shared" si="5"/>
        <v>502683.3366666669</v>
      </c>
      <c r="V63" s="67">
        <f t="shared" si="6"/>
        <v>0</v>
      </c>
      <c r="Y63" s="97">
        <f t="shared" si="21"/>
        <v>0.13</v>
      </c>
      <c r="Z63" s="57">
        <f t="shared" si="17"/>
        <v>9063.8888888888887</v>
      </c>
      <c r="AA63" s="57">
        <f t="shared" si="18"/>
        <v>409677.77777777758</v>
      </c>
      <c r="AD63" s="11"/>
    </row>
    <row r="64" spans="1:30" hidden="1" outlineLevel="1" x14ac:dyDescent="0.35">
      <c r="A64" s="75" t="str">
        <f t="shared" si="0"/>
        <v>No</v>
      </c>
      <c r="B64" s="75">
        <f t="shared" si="19"/>
        <v>2</v>
      </c>
      <c r="C64" s="76">
        <f t="shared" si="1"/>
        <v>0</v>
      </c>
      <c r="D64" s="77">
        <f t="shared" si="2"/>
        <v>43570</v>
      </c>
      <c r="E64" s="77" t="str">
        <f t="shared" si="3"/>
        <v>No</v>
      </c>
      <c r="F64" s="75">
        <f t="shared" si="7"/>
        <v>1</v>
      </c>
      <c r="G64" s="78">
        <f t="shared" si="8"/>
        <v>0</v>
      </c>
      <c r="H64" s="77">
        <f t="shared" si="20"/>
        <v>43845</v>
      </c>
      <c r="I64" s="77" t="str">
        <f t="shared" si="9"/>
        <v>No</v>
      </c>
      <c r="J64" s="75">
        <f t="shared" si="10"/>
        <v>1</v>
      </c>
      <c r="K64" s="78">
        <f t="shared" si="4"/>
        <v>0</v>
      </c>
      <c r="L64" s="12">
        <v>43524</v>
      </c>
      <c r="M64" s="57">
        <f t="shared" si="11"/>
        <v>25100000</v>
      </c>
      <c r="Q64" s="10">
        <f t="shared" si="22"/>
        <v>0.12</v>
      </c>
      <c r="R64" s="10">
        <f t="shared" si="25"/>
        <v>0</v>
      </c>
      <c r="S64" s="60">
        <f t="shared" si="14"/>
        <v>0.12</v>
      </c>
      <c r="T64" s="57">
        <f t="shared" si="15"/>
        <v>8366.6666666666679</v>
      </c>
      <c r="U64" s="57">
        <f t="shared" si="5"/>
        <v>511050.00333333359</v>
      </c>
      <c r="V64" s="67">
        <f t="shared" si="6"/>
        <v>0</v>
      </c>
      <c r="Y64" s="97">
        <f t="shared" si="21"/>
        <v>0.13</v>
      </c>
      <c r="Z64" s="57">
        <f t="shared" si="17"/>
        <v>9063.8888888888887</v>
      </c>
      <c r="AA64" s="57">
        <f t="shared" si="18"/>
        <v>418741.66666666645</v>
      </c>
      <c r="AD64" s="11"/>
    </row>
    <row r="65" spans="1:30" hidden="1" outlineLevel="1" x14ac:dyDescent="0.35">
      <c r="A65" s="75" t="str">
        <f t="shared" si="0"/>
        <v>No</v>
      </c>
      <c r="B65" s="75">
        <f t="shared" si="19"/>
        <v>2</v>
      </c>
      <c r="C65" s="76">
        <f t="shared" si="1"/>
        <v>0</v>
      </c>
      <c r="D65" s="77">
        <f t="shared" si="2"/>
        <v>43570</v>
      </c>
      <c r="E65" s="77" t="str">
        <f t="shared" si="3"/>
        <v>No</v>
      </c>
      <c r="F65" s="75">
        <f t="shared" si="7"/>
        <v>1</v>
      </c>
      <c r="G65" s="78">
        <f t="shared" si="8"/>
        <v>0</v>
      </c>
      <c r="H65" s="77">
        <f t="shared" si="20"/>
        <v>43845</v>
      </c>
      <c r="I65" s="77" t="str">
        <f t="shared" si="9"/>
        <v>No</v>
      </c>
      <c r="J65" s="75">
        <f t="shared" si="10"/>
        <v>1</v>
      </c>
      <c r="K65" s="78">
        <f t="shared" si="4"/>
        <v>0</v>
      </c>
      <c r="L65" s="12">
        <v>43525</v>
      </c>
      <c r="M65" s="57">
        <f t="shared" si="11"/>
        <v>25100000</v>
      </c>
      <c r="Q65" s="10">
        <v>0.13</v>
      </c>
      <c r="R65" s="10">
        <f t="shared" si="25"/>
        <v>0</v>
      </c>
      <c r="S65" s="60">
        <f t="shared" si="14"/>
        <v>0.13</v>
      </c>
      <c r="T65" s="57">
        <f t="shared" si="15"/>
        <v>9063.8888888888887</v>
      </c>
      <c r="U65" s="57">
        <f t="shared" si="5"/>
        <v>520113.89222222246</v>
      </c>
      <c r="V65" s="67">
        <f t="shared" si="6"/>
        <v>0</v>
      </c>
      <c r="Y65" s="97">
        <f t="shared" si="21"/>
        <v>0.13</v>
      </c>
      <c r="Z65" s="57">
        <f t="shared" si="17"/>
        <v>9063.8888888888887</v>
      </c>
      <c r="AA65" s="57">
        <f t="shared" si="18"/>
        <v>427805.55555555533</v>
      </c>
      <c r="AD65" s="11"/>
    </row>
    <row r="66" spans="1:30" hidden="1" outlineLevel="1" x14ac:dyDescent="0.35">
      <c r="A66" s="75" t="str">
        <f t="shared" si="0"/>
        <v>No</v>
      </c>
      <c r="B66" s="75">
        <f t="shared" si="19"/>
        <v>2</v>
      </c>
      <c r="C66" s="76">
        <f t="shared" si="1"/>
        <v>0</v>
      </c>
      <c r="D66" s="77">
        <f t="shared" si="2"/>
        <v>43570</v>
      </c>
      <c r="E66" s="77" t="str">
        <f t="shared" si="3"/>
        <v>No</v>
      </c>
      <c r="F66" s="75">
        <f t="shared" si="7"/>
        <v>1</v>
      </c>
      <c r="G66" s="78">
        <f t="shared" si="8"/>
        <v>0</v>
      </c>
      <c r="H66" s="77">
        <f t="shared" si="20"/>
        <v>43845</v>
      </c>
      <c r="I66" s="77" t="str">
        <f t="shared" si="9"/>
        <v>No</v>
      </c>
      <c r="J66" s="75">
        <f t="shared" si="10"/>
        <v>1</v>
      </c>
      <c r="K66" s="78">
        <f t="shared" si="4"/>
        <v>0</v>
      </c>
      <c r="L66" s="12">
        <v>43526</v>
      </c>
      <c r="M66" s="57">
        <f t="shared" si="11"/>
        <v>25100000</v>
      </c>
      <c r="Q66" s="10">
        <f t="shared" ref="Q66:Q129" si="26">Q65</f>
        <v>0.13</v>
      </c>
      <c r="R66" s="10">
        <f t="shared" si="25"/>
        <v>0</v>
      </c>
      <c r="S66" s="60">
        <f t="shared" si="14"/>
        <v>0.13</v>
      </c>
      <c r="T66" s="57">
        <f t="shared" si="15"/>
        <v>9063.8888888888887</v>
      </c>
      <c r="U66" s="57">
        <f t="shared" si="5"/>
        <v>529177.7811111114</v>
      </c>
      <c r="V66" s="67">
        <f t="shared" si="6"/>
        <v>0</v>
      </c>
      <c r="Y66" s="97">
        <f t="shared" si="21"/>
        <v>0.13</v>
      </c>
      <c r="Z66" s="57">
        <f t="shared" si="17"/>
        <v>9063.8888888888887</v>
      </c>
      <c r="AA66" s="57">
        <f t="shared" si="18"/>
        <v>436869.44444444421</v>
      </c>
      <c r="AD66" s="11"/>
    </row>
    <row r="67" spans="1:30" hidden="1" outlineLevel="1" x14ac:dyDescent="0.35">
      <c r="A67" s="75" t="str">
        <f t="shared" si="0"/>
        <v>No</v>
      </c>
      <c r="B67" s="75">
        <f t="shared" si="19"/>
        <v>2</v>
      </c>
      <c r="C67" s="76">
        <f t="shared" si="1"/>
        <v>0</v>
      </c>
      <c r="D67" s="77">
        <f t="shared" si="2"/>
        <v>43570</v>
      </c>
      <c r="E67" s="77" t="str">
        <f t="shared" si="3"/>
        <v>No</v>
      </c>
      <c r="F67" s="75">
        <f t="shared" si="7"/>
        <v>1</v>
      </c>
      <c r="G67" s="78">
        <f t="shared" si="8"/>
        <v>0</v>
      </c>
      <c r="H67" s="77">
        <f t="shared" si="20"/>
        <v>43845</v>
      </c>
      <c r="I67" s="77" t="str">
        <f t="shared" si="9"/>
        <v>No</v>
      </c>
      <c r="J67" s="75">
        <f t="shared" si="10"/>
        <v>1</v>
      </c>
      <c r="K67" s="78">
        <f t="shared" si="4"/>
        <v>0</v>
      </c>
      <c r="L67" s="12">
        <v>43527</v>
      </c>
      <c r="M67" s="57">
        <f t="shared" si="11"/>
        <v>25100000</v>
      </c>
      <c r="Q67" s="10">
        <f t="shared" si="26"/>
        <v>0.13</v>
      </c>
      <c r="R67" s="10">
        <f t="shared" si="25"/>
        <v>0</v>
      </c>
      <c r="S67" s="60">
        <f t="shared" si="14"/>
        <v>0.13</v>
      </c>
      <c r="T67" s="57">
        <f t="shared" si="15"/>
        <v>9063.8888888888887</v>
      </c>
      <c r="U67" s="57">
        <f t="shared" si="5"/>
        <v>538241.67000000027</v>
      </c>
      <c r="V67" s="67">
        <f t="shared" si="6"/>
        <v>0</v>
      </c>
      <c r="Y67" s="97">
        <f t="shared" si="21"/>
        <v>0.13</v>
      </c>
      <c r="Z67" s="57">
        <f t="shared" si="17"/>
        <v>9063.8888888888887</v>
      </c>
      <c r="AA67" s="57">
        <f t="shared" si="18"/>
        <v>445933.33333333308</v>
      </c>
      <c r="AD67" s="11"/>
    </row>
    <row r="68" spans="1:30" hidden="1" outlineLevel="1" x14ac:dyDescent="0.35">
      <c r="A68" s="75" t="str">
        <f t="shared" si="0"/>
        <v>No</v>
      </c>
      <c r="B68" s="75">
        <f t="shared" si="19"/>
        <v>2</v>
      </c>
      <c r="C68" s="76">
        <f t="shared" si="1"/>
        <v>0</v>
      </c>
      <c r="D68" s="77">
        <f t="shared" si="2"/>
        <v>43570</v>
      </c>
      <c r="E68" s="77" t="str">
        <f t="shared" si="3"/>
        <v>No</v>
      </c>
      <c r="F68" s="75">
        <f t="shared" si="7"/>
        <v>1</v>
      </c>
      <c r="G68" s="78">
        <f t="shared" si="8"/>
        <v>0</v>
      </c>
      <c r="H68" s="77">
        <f t="shared" si="20"/>
        <v>43845</v>
      </c>
      <c r="I68" s="77" t="str">
        <f t="shared" si="9"/>
        <v>No</v>
      </c>
      <c r="J68" s="75">
        <f t="shared" si="10"/>
        <v>1</v>
      </c>
      <c r="K68" s="78">
        <f t="shared" si="4"/>
        <v>0</v>
      </c>
      <c r="L68" s="12">
        <v>43528</v>
      </c>
      <c r="M68" s="57">
        <f t="shared" si="11"/>
        <v>25100000</v>
      </c>
      <c r="Q68" s="10">
        <f t="shared" si="26"/>
        <v>0.13</v>
      </c>
      <c r="R68" s="10">
        <f t="shared" si="25"/>
        <v>0</v>
      </c>
      <c r="S68" s="60">
        <f t="shared" si="14"/>
        <v>0.13</v>
      </c>
      <c r="T68" s="57">
        <f t="shared" si="15"/>
        <v>9063.8888888888887</v>
      </c>
      <c r="U68" s="57">
        <f t="shared" si="5"/>
        <v>547305.55888888915</v>
      </c>
      <c r="V68" s="67">
        <f t="shared" si="6"/>
        <v>0</v>
      </c>
      <c r="Y68" s="97">
        <f t="shared" si="21"/>
        <v>0.13</v>
      </c>
      <c r="Z68" s="57">
        <f t="shared" si="17"/>
        <v>9063.8888888888887</v>
      </c>
      <c r="AA68" s="57">
        <f t="shared" si="18"/>
        <v>454997.22222222196</v>
      </c>
      <c r="AD68" s="11"/>
    </row>
    <row r="69" spans="1:30" hidden="1" outlineLevel="1" x14ac:dyDescent="0.35">
      <c r="A69" s="75" t="str">
        <f t="shared" si="0"/>
        <v>No</v>
      </c>
      <c r="B69" s="75">
        <f t="shared" si="19"/>
        <v>2</v>
      </c>
      <c r="C69" s="76">
        <f t="shared" si="1"/>
        <v>0</v>
      </c>
      <c r="D69" s="77">
        <f t="shared" si="2"/>
        <v>43570</v>
      </c>
      <c r="E69" s="77" t="str">
        <f t="shared" si="3"/>
        <v>No</v>
      </c>
      <c r="F69" s="75">
        <f t="shared" si="7"/>
        <v>1</v>
      </c>
      <c r="G69" s="78">
        <f t="shared" si="8"/>
        <v>0</v>
      </c>
      <c r="H69" s="77">
        <f t="shared" si="20"/>
        <v>43845</v>
      </c>
      <c r="I69" s="77" t="str">
        <f t="shared" si="9"/>
        <v>No</v>
      </c>
      <c r="J69" s="75">
        <f t="shared" si="10"/>
        <v>1</v>
      </c>
      <c r="K69" s="78">
        <f t="shared" si="4"/>
        <v>0</v>
      </c>
      <c r="L69" s="12">
        <v>43529</v>
      </c>
      <c r="M69" s="57">
        <f t="shared" si="11"/>
        <v>25100000</v>
      </c>
      <c r="Q69" s="10">
        <f t="shared" si="26"/>
        <v>0.13</v>
      </c>
      <c r="R69" s="10">
        <f t="shared" si="25"/>
        <v>0</v>
      </c>
      <c r="S69" s="60">
        <f t="shared" si="14"/>
        <v>0.13</v>
      </c>
      <c r="T69" s="57">
        <f t="shared" si="15"/>
        <v>9063.8888888888887</v>
      </c>
      <c r="U69" s="57">
        <f t="shared" si="5"/>
        <v>556369.44777777803</v>
      </c>
      <c r="V69" s="67">
        <f t="shared" si="6"/>
        <v>0</v>
      </c>
      <c r="Y69" s="97">
        <f t="shared" si="21"/>
        <v>0.13</v>
      </c>
      <c r="Z69" s="57">
        <f t="shared" si="17"/>
        <v>9063.8888888888887</v>
      </c>
      <c r="AA69" s="57">
        <f t="shared" si="18"/>
        <v>464061.11111111083</v>
      </c>
      <c r="AD69" s="11"/>
    </row>
    <row r="70" spans="1:30" hidden="1" outlineLevel="1" x14ac:dyDescent="0.35">
      <c r="A70" s="75" t="str">
        <f t="shared" si="0"/>
        <v>No</v>
      </c>
      <c r="B70" s="75">
        <f t="shared" si="19"/>
        <v>2</v>
      </c>
      <c r="C70" s="76">
        <f t="shared" si="1"/>
        <v>0</v>
      </c>
      <c r="D70" s="77">
        <f t="shared" si="2"/>
        <v>43570</v>
      </c>
      <c r="E70" s="77" t="str">
        <f t="shared" si="3"/>
        <v>No</v>
      </c>
      <c r="F70" s="75">
        <f t="shared" si="7"/>
        <v>1</v>
      </c>
      <c r="G70" s="78">
        <f t="shared" si="8"/>
        <v>0</v>
      </c>
      <c r="H70" s="77">
        <f t="shared" si="20"/>
        <v>43845</v>
      </c>
      <c r="I70" s="77" t="str">
        <f t="shared" si="9"/>
        <v>No</v>
      </c>
      <c r="J70" s="75">
        <f t="shared" si="10"/>
        <v>1</v>
      </c>
      <c r="K70" s="78">
        <f t="shared" si="4"/>
        <v>0</v>
      </c>
      <c r="L70" s="12">
        <v>43530</v>
      </c>
      <c r="M70" s="57">
        <f t="shared" si="11"/>
        <v>25100000</v>
      </c>
      <c r="Q70" s="10">
        <f t="shared" si="26"/>
        <v>0.13</v>
      </c>
      <c r="R70" s="10">
        <f t="shared" si="25"/>
        <v>0</v>
      </c>
      <c r="S70" s="60">
        <f t="shared" si="14"/>
        <v>0.13</v>
      </c>
      <c r="T70" s="57">
        <f t="shared" si="15"/>
        <v>9063.8888888888887</v>
      </c>
      <c r="U70" s="57">
        <f t="shared" si="5"/>
        <v>565433.3366666669</v>
      </c>
      <c r="V70" s="67">
        <f t="shared" si="6"/>
        <v>0</v>
      </c>
      <c r="Y70" s="97">
        <f t="shared" si="21"/>
        <v>0.13</v>
      </c>
      <c r="Z70" s="57">
        <f t="shared" si="17"/>
        <v>9063.8888888888887</v>
      </c>
      <c r="AA70" s="57">
        <f t="shared" si="18"/>
        <v>473124.99999999971</v>
      </c>
      <c r="AD70" s="11"/>
    </row>
    <row r="71" spans="1:30" hidden="1" outlineLevel="1" x14ac:dyDescent="0.35">
      <c r="A71" s="75" t="str">
        <f t="shared" si="0"/>
        <v>No</v>
      </c>
      <c r="B71" s="75">
        <f t="shared" si="19"/>
        <v>2</v>
      </c>
      <c r="C71" s="76">
        <f t="shared" si="1"/>
        <v>0</v>
      </c>
      <c r="D71" s="77">
        <f t="shared" si="2"/>
        <v>43570</v>
      </c>
      <c r="E71" s="77" t="str">
        <f t="shared" si="3"/>
        <v>No</v>
      </c>
      <c r="F71" s="75">
        <f t="shared" si="7"/>
        <v>1</v>
      </c>
      <c r="G71" s="78">
        <f t="shared" si="8"/>
        <v>0</v>
      </c>
      <c r="H71" s="77">
        <f t="shared" si="20"/>
        <v>43845</v>
      </c>
      <c r="I71" s="77" t="str">
        <f t="shared" si="9"/>
        <v>No</v>
      </c>
      <c r="J71" s="75">
        <f t="shared" si="10"/>
        <v>1</v>
      </c>
      <c r="K71" s="78">
        <f t="shared" si="4"/>
        <v>0</v>
      </c>
      <c r="L71" s="12">
        <v>43531</v>
      </c>
      <c r="M71" s="57">
        <f t="shared" si="11"/>
        <v>25100000</v>
      </c>
      <c r="Q71" s="10">
        <f t="shared" si="26"/>
        <v>0.13</v>
      </c>
      <c r="R71" s="10">
        <f t="shared" si="25"/>
        <v>0</v>
      </c>
      <c r="S71" s="60">
        <f t="shared" si="14"/>
        <v>0.13</v>
      </c>
      <c r="T71" s="57">
        <f t="shared" si="15"/>
        <v>9063.8888888888887</v>
      </c>
      <c r="U71" s="57">
        <f t="shared" si="5"/>
        <v>574497.22555555578</v>
      </c>
      <c r="V71" s="67">
        <f t="shared" si="6"/>
        <v>0</v>
      </c>
      <c r="Y71" s="97">
        <f t="shared" si="21"/>
        <v>0.13</v>
      </c>
      <c r="Z71" s="57">
        <f t="shared" si="17"/>
        <v>9063.8888888888887</v>
      </c>
      <c r="AA71" s="57">
        <f t="shared" si="18"/>
        <v>482188.88888888858</v>
      </c>
      <c r="AD71" s="11"/>
    </row>
    <row r="72" spans="1:30" hidden="1" outlineLevel="1" x14ac:dyDescent="0.35">
      <c r="A72" s="75" t="str">
        <f t="shared" si="0"/>
        <v>No</v>
      </c>
      <c r="B72" s="75">
        <f t="shared" si="19"/>
        <v>2</v>
      </c>
      <c r="C72" s="76">
        <f t="shared" si="1"/>
        <v>0</v>
      </c>
      <c r="D72" s="77">
        <f t="shared" si="2"/>
        <v>43570</v>
      </c>
      <c r="E72" s="77" t="str">
        <f t="shared" si="3"/>
        <v>No</v>
      </c>
      <c r="F72" s="75">
        <f t="shared" si="7"/>
        <v>1</v>
      </c>
      <c r="G72" s="78">
        <f t="shared" si="8"/>
        <v>0</v>
      </c>
      <c r="H72" s="77">
        <f t="shared" si="20"/>
        <v>43845</v>
      </c>
      <c r="I72" s="77" t="str">
        <f t="shared" si="9"/>
        <v>No</v>
      </c>
      <c r="J72" s="75">
        <f t="shared" si="10"/>
        <v>1</v>
      </c>
      <c r="K72" s="78">
        <f t="shared" si="4"/>
        <v>0</v>
      </c>
      <c r="L72" s="12">
        <v>43532</v>
      </c>
      <c r="M72" s="57">
        <f t="shared" si="11"/>
        <v>25100000</v>
      </c>
      <c r="Q72" s="10">
        <f t="shared" si="26"/>
        <v>0.13</v>
      </c>
      <c r="R72" s="10">
        <f t="shared" si="25"/>
        <v>0</v>
      </c>
      <c r="S72" s="60">
        <f t="shared" si="14"/>
        <v>0.13</v>
      </c>
      <c r="T72" s="57">
        <f t="shared" si="15"/>
        <v>9063.8888888888887</v>
      </c>
      <c r="U72" s="57">
        <f t="shared" si="5"/>
        <v>583561.11444444465</v>
      </c>
      <c r="V72" s="67">
        <f t="shared" si="6"/>
        <v>0</v>
      </c>
      <c r="Y72" s="97">
        <f t="shared" si="21"/>
        <v>0.13</v>
      </c>
      <c r="Z72" s="57">
        <f t="shared" si="17"/>
        <v>9063.8888888888887</v>
      </c>
      <c r="AA72" s="57">
        <f t="shared" si="18"/>
        <v>491252.77777777746</v>
      </c>
      <c r="AD72" s="11"/>
    </row>
    <row r="73" spans="1:30" hidden="1" outlineLevel="1" x14ac:dyDescent="0.35">
      <c r="A73" s="75" t="str">
        <f t="shared" si="0"/>
        <v>No</v>
      </c>
      <c r="B73" s="75">
        <f t="shared" si="19"/>
        <v>2</v>
      </c>
      <c r="C73" s="76">
        <f t="shared" si="1"/>
        <v>0</v>
      </c>
      <c r="D73" s="77">
        <f t="shared" si="2"/>
        <v>43570</v>
      </c>
      <c r="E73" s="77" t="str">
        <f t="shared" si="3"/>
        <v>No</v>
      </c>
      <c r="F73" s="75">
        <f t="shared" si="7"/>
        <v>1</v>
      </c>
      <c r="G73" s="78">
        <f t="shared" si="8"/>
        <v>0</v>
      </c>
      <c r="H73" s="77">
        <f t="shared" si="20"/>
        <v>43845</v>
      </c>
      <c r="I73" s="77" t="str">
        <f t="shared" si="9"/>
        <v>No</v>
      </c>
      <c r="J73" s="75">
        <f t="shared" si="10"/>
        <v>1</v>
      </c>
      <c r="K73" s="78">
        <f t="shared" si="4"/>
        <v>0</v>
      </c>
      <c r="L73" s="12">
        <v>43533</v>
      </c>
      <c r="M73" s="57">
        <f t="shared" si="11"/>
        <v>25100000</v>
      </c>
      <c r="Q73" s="10">
        <f t="shared" si="26"/>
        <v>0.13</v>
      </c>
      <c r="R73" s="10">
        <f t="shared" si="25"/>
        <v>0</v>
      </c>
      <c r="S73" s="60">
        <f t="shared" si="14"/>
        <v>0.13</v>
      </c>
      <c r="T73" s="57">
        <f t="shared" si="15"/>
        <v>9063.8888888888887</v>
      </c>
      <c r="U73" s="57">
        <f t="shared" si="5"/>
        <v>592625.00333333353</v>
      </c>
      <c r="V73" s="67">
        <f t="shared" si="6"/>
        <v>0</v>
      </c>
      <c r="Y73" s="97">
        <f t="shared" si="21"/>
        <v>0.13</v>
      </c>
      <c r="Z73" s="57">
        <f t="shared" si="17"/>
        <v>9063.8888888888887</v>
      </c>
      <c r="AA73" s="57">
        <f t="shared" si="18"/>
        <v>500316.66666666634</v>
      </c>
      <c r="AD73" s="11"/>
    </row>
    <row r="74" spans="1:30" hidden="1" outlineLevel="1" x14ac:dyDescent="0.35">
      <c r="A74" s="75" t="str">
        <f t="shared" si="0"/>
        <v>No</v>
      </c>
      <c r="B74" s="75">
        <f t="shared" si="19"/>
        <v>2</v>
      </c>
      <c r="C74" s="76">
        <f t="shared" si="1"/>
        <v>0</v>
      </c>
      <c r="D74" s="77">
        <f t="shared" si="2"/>
        <v>43570</v>
      </c>
      <c r="E74" s="77" t="str">
        <f t="shared" si="3"/>
        <v>No</v>
      </c>
      <c r="F74" s="75">
        <f t="shared" si="7"/>
        <v>1</v>
      </c>
      <c r="G74" s="78">
        <f t="shared" si="8"/>
        <v>0</v>
      </c>
      <c r="H74" s="77">
        <f t="shared" si="20"/>
        <v>43845</v>
      </c>
      <c r="I74" s="77" t="str">
        <f t="shared" si="9"/>
        <v>No</v>
      </c>
      <c r="J74" s="75">
        <f t="shared" si="10"/>
        <v>1</v>
      </c>
      <c r="K74" s="78">
        <f t="shared" si="4"/>
        <v>0</v>
      </c>
      <c r="L74" s="12">
        <v>43534</v>
      </c>
      <c r="M74" s="57">
        <f t="shared" si="11"/>
        <v>25100000</v>
      </c>
      <c r="Q74" s="10">
        <f t="shared" si="26"/>
        <v>0.13</v>
      </c>
      <c r="R74" s="10">
        <f t="shared" si="25"/>
        <v>0</v>
      </c>
      <c r="S74" s="60">
        <f t="shared" si="14"/>
        <v>0.13</v>
      </c>
      <c r="T74" s="57">
        <f t="shared" si="15"/>
        <v>9063.8888888888887</v>
      </c>
      <c r="U74" s="57">
        <f t="shared" si="5"/>
        <v>601688.89222222241</v>
      </c>
      <c r="V74" s="67">
        <f t="shared" si="6"/>
        <v>0</v>
      </c>
      <c r="Y74" s="97">
        <f t="shared" si="21"/>
        <v>0.13</v>
      </c>
      <c r="Z74" s="57">
        <f t="shared" si="17"/>
        <v>9063.8888888888887</v>
      </c>
      <c r="AA74" s="57">
        <f t="shared" si="18"/>
        <v>509380.55555555521</v>
      </c>
      <c r="AD74" s="11"/>
    </row>
    <row r="75" spans="1:30" hidden="1" outlineLevel="1" x14ac:dyDescent="0.35">
      <c r="A75" s="75" t="str">
        <f t="shared" si="0"/>
        <v>No</v>
      </c>
      <c r="B75" s="75">
        <f t="shared" si="19"/>
        <v>2</v>
      </c>
      <c r="C75" s="76">
        <f t="shared" si="1"/>
        <v>0</v>
      </c>
      <c r="D75" s="77">
        <f t="shared" si="2"/>
        <v>43570</v>
      </c>
      <c r="E75" s="77" t="str">
        <f t="shared" si="3"/>
        <v>No</v>
      </c>
      <c r="F75" s="75">
        <f t="shared" si="7"/>
        <v>1</v>
      </c>
      <c r="G75" s="78">
        <f t="shared" si="8"/>
        <v>0</v>
      </c>
      <c r="H75" s="77">
        <f t="shared" si="20"/>
        <v>43845</v>
      </c>
      <c r="I75" s="77" t="str">
        <f t="shared" si="9"/>
        <v>No</v>
      </c>
      <c r="J75" s="75">
        <f t="shared" si="10"/>
        <v>1</v>
      </c>
      <c r="K75" s="78">
        <f t="shared" si="4"/>
        <v>0</v>
      </c>
      <c r="L75" s="12">
        <v>43535</v>
      </c>
      <c r="M75" s="57">
        <f t="shared" si="11"/>
        <v>25100000</v>
      </c>
      <c r="Q75" s="10">
        <f t="shared" si="26"/>
        <v>0.13</v>
      </c>
      <c r="R75" s="10">
        <f t="shared" si="25"/>
        <v>0</v>
      </c>
      <c r="S75" s="60">
        <f t="shared" si="14"/>
        <v>0.13</v>
      </c>
      <c r="T75" s="57">
        <f t="shared" si="15"/>
        <v>9063.8888888888887</v>
      </c>
      <c r="U75" s="57">
        <f t="shared" si="5"/>
        <v>610752.78111111128</v>
      </c>
      <c r="V75" s="67">
        <f t="shared" si="6"/>
        <v>0</v>
      </c>
      <c r="Y75" s="97">
        <f t="shared" si="21"/>
        <v>0.13</v>
      </c>
      <c r="Z75" s="57">
        <f t="shared" si="17"/>
        <v>9063.8888888888887</v>
      </c>
      <c r="AA75" s="57">
        <f t="shared" si="18"/>
        <v>518444.44444444409</v>
      </c>
      <c r="AD75" s="11"/>
    </row>
    <row r="76" spans="1:30" hidden="1" outlineLevel="1" x14ac:dyDescent="0.35">
      <c r="A76" s="75" t="str">
        <f t="shared" si="0"/>
        <v>No</v>
      </c>
      <c r="B76" s="75">
        <f t="shared" si="19"/>
        <v>2</v>
      </c>
      <c r="C76" s="76">
        <f t="shared" si="1"/>
        <v>0</v>
      </c>
      <c r="D76" s="77">
        <f t="shared" si="2"/>
        <v>43570</v>
      </c>
      <c r="E76" s="77" t="str">
        <f t="shared" si="3"/>
        <v>No</v>
      </c>
      <c r="F76" s="75">
        <f t="shared" si="7"/>
        <v>1</v>
      </c>
      <c r="G76" s="78">
        <f t="shared" si="8"/>
        <v>0</v>
      </c>
      <c r="H76" s="77">
        <f t="shared" si="20"/>
        <v>43845</v>
      </c>
      <c r="I76" s="77" t="str">
        <f t="shared" si="9"/>
        <v>No</v>
      </c>
      <c r="J76" s="75">
        <f t="shared" si="10"/>
        <v>1</v>
      </c>
      <c r="K76" s="78">
        <f t="shared" si="4"/>
        <v>0</v>
      </c>
      <c r="L76" s="12">
        <v>43536</v>
      </c>
      <c r="M76" s="57">
        <f t="shared" si="11"/>
        <v>25100000</v>
      </c>
      <c r="Q76" s="10">
        <f t="shared" si="26"/>
        <v>0.13</v>
      </c>
      <c r="R76" s="10">
        <f t="shared" si="25"/>
        <v>0</v>
      </c>
      <c r="S76" s="60">
        <f t="shared" si="14"/>
        <v>0.13</v>
      </c>
      <c r="T76" s="57">
        <f t="shared" si="15"/>
        <v>9063.8888888888887</v>
      </c>
      <c r="U76" s="57">
        <f t="shared" si="5"/>
        <v>619816.67000000016</v>
      </c>
      <c r="V76" s="67">
        <f t="shared" si="6"/>
        <v>0</v>
      </c>
      <c r="Y76" s="97">
        <f t="shared" si="21"/>
        <v>0.13</v>
      </c>
      <c r="Z76" s="57">
        <f t="shared" si="17"/>
        <v>9063.8888888888887</v>
      </c>
      <c r="AA76" s="57">
        <f t="shared" si="18"/>
        <v>527508.33333333302</v>
      </c>
      <c r="AD76" s="11"/>
    </row>
    <row r="77" spans="1:30" hidden="1" outlineLevel="1" x14ac:dyDescent="0.35">
      <c r="A77" s="75" t="str">
        <f t="shared" si="0"/>
        <v>No</v>
      </c>
      <c r="B77" s="75">
        <f t="shared" si="19"/>
        <v>2</v>
      </c>
      <c r="C77" s="76">
        <f t="shared" si="1"/>
        <v>0</v>
      </c>
      <c r="D77" s="77">
        <f t="shared" si="2"/>
        <v>43570</v>
      </c>
      <c r="E77" s="77" t="str">
        <f t="shared" si="3"/>
        <v>No</v>
      </c>
      <c r="F77" s="75">
        <f t="shared" si="7"/>
        <v>1</v>
      </c>
      <c r="G77" s="78">
        <f t="shared" si="8"/>
        <v>0</v>
      </c>
      <c r="H77" s="77">
        <f t="shared" si="20"/>
        <v>43845</v>
      </c>
      <c r="I77" s="77" t="str">
        <f t="shared" si="9"/>
        <v>No</v>
      </c>
      <c r="J77" s="75">
        <f t="shared" si="10"/>
        <v>1</v>
      </c>
      <c r="K77" s="78">
        <f t="shared" si="4"/>
        <v>0</v>
      </c>
      <c r="L77" s="12">
        <v>43537</v>
      </c>
      <c r="M77" s="57">
        <f t="shared" si="11"/>
        <v>25100000</v>
      </c>
      <c r="Q77" s="10">
        <f t="shared" si="26"/>
        <v>0.13</v>
      </c>
      <c r="R77" s="10">
        <f t="shared" si="25"/>
        <v>0</v>
      </c>
      <c r="S77" s="60">
        <f t="shared" si="14"/>
        <v>0.13</v>
      </c>
      <c r="T77" s="57">
        <f t="shared" si="15"/>
        <v>9063.8888888888887</v>
      </c>
      <c r="U77" s="57">
        <f t="shared" si="5"/>
        <v>628880.55888888903</v>
      </c>
      <c r="V77" s="67">
        <f t="shared" si="6"/>
        <v>0</v>
      </c>
      <c r="Y77" s="97">
        <f t="shared" si="21"/>
        <v>0.13</v>
      </c>
      <c r="Z77" s="57">
        <f t="shared" si="17"/>
        <v>9063.8888888888887</v>
      </c>
      <c r="AA77" s="57">
        <f t="shared" si="18"/>
        <v>536572.2222222219</v>
      </c>
      <c r="AD77" s="11"/>
    </row>
    <row r="78" spans="1:30" hidden="1" outlineLevel="1" x14ac:dyDescent="0.35">
      <c r="A78" s="75" t="str">
        <f t="shared" si="0"/>
        <v>No</v>
      </c>
      <c r="B78" s="75">
        <f t="shared" si="19"/>
        <v>2</v>
      </c>
      <c r="C78" s="76">
        <f t="shared" si="1"/>
        <v>0</v>
      </c>
      <c r="D78" s="77">
        <f t="shared" si="2"/>
        <v>43570</v>
      </c>
      <c r="E78" s="77" t="str">
        <f t="shared" si="3"/>
        <v>No</v>
      </c>
      <c r="F78" s="75">
        <f t="shared" si="7"/>
        <v>1</v>
      </c>
      <c r="G78" s="78">
        <f t="shared" si="8"/>
        <v>0</v>
      </c>
      <c r="H78" s="77">
        <f t="shared" si="20"/>
        <v>43845</v>
      </c>
      <c r="I78" s="77" t="str">
        <f t="shared" si="9"/>
        <v>No</v>
      </c>
      <c r="J78" s="75">
        <f t="shared" si="10"/>
        <v>1</v>
      </c>
      <c r="K78" s="78">
        <f t="shared" si="4"/>
        <v>0</v>
      </c>
      <c r="L78" s="12">
        <v>43538</v>
      </c>
      <c r="M78" s="57">
        <f t="shared" si="11"/>
        <v>25100000</v>
      </c>
      <c r="Q78" s="10">
        <f t="shared" si="26"/>
        <v>0.13</v>
      </c>
      <c r="R78" s="10">
        <f t="shared" si="25"/>
        <v>0</v>
      </c>
      <c r="S78" s="60">
        <f t="shared" si="14"/>
        <v>0.13</v>
      </c>
      <c r="T78" s="57">
        <f t="shared" si="15"/>
        <v>9063.8888888888887</v>
      </c>
      <c r="U78" s="57">
        <f t="shared" si="5"/>
        <v>637944.44777777791</v>
      </c>
      <c r="V78" s="67">
        <f t="shared" si="6"/>
        <v>0</v>
      </c>
      <c r="Y78" s="97">
        <f t="shared" si="21"/>
        <v>0.13</v>
      </c>
      <c r="Z78" s="57">
        <f t="shared" si="17"/>
        <v>9063.8888888888887</v>
      </c>
      <c r="AA78" s="57">
        <f t="shared" si="18"/>
        <v>545636.11111111077</v>
      </c>
      <c r="AD78" s="11"/>
    </row>
    <row r="79" spans="1:30" hidden="1" outlineLevel="1" x14ac:dyDescent="0.35">
      <c r="A79" s="75" t="str">
        <f t="shared" si="0"/>
        <v>Yes</v>
      </c>
      <c r="B79" s="75">
        <f t="shared" si="19"/>
        <v>3</v>
      </c>
      <c r="C79" s="76">
        <f t="shared" si="1"/>
        <v>244027.77777777766</v>
      </c>
      <c r="D79" s="77">
        <f t="shared" si="2"/>
        <v>43570</v>
      </c>
      <c r="E79" s="77" t="str">
        <f t="shared" si="3"/>
        <v>No</v>
      </c>
      <c r="F79" s="75">
        <f t="shared" si="7"/>
        <v>1</v>
      </c>
      <c r="G79" s="78">
        <f t="shared" si="8"/>
        <v>0</v>
      </c>
      <c r="H79" s="77">
        <f t="shared" si="20"/>
        <v>43845</v>
      </c>
      <c r="I79" s="77" t="str">
        <f t="shared" si="9"/>
        <v>No</v>
      </c>
      <c r="J79" s="75">
        <f t="shared" si="10"/>
        <v>1</v>
      </c>
      <c r="K79" s="78">
        <f t="shared" si="4"/>
        <v>0</v>
      </c>
      <c r="L79" s="12">
        <v>43539</v>
      </c>
      <c r="M79" s="57">
        <f t="shared" si="11"/>
        <v>25100000</v>
      </c>
      <c r="Q79" s="10">
        <f t="shared" si="26"/>
        <v>0.13</v>
      </c>
      <c r="R79" s="10">
        <f t="shared" si="25"/>
        <v>0</v>
      </c>
      <c r="S79" s="60">
        <f t="shared" si="14"/>
        <v>0.13</v>
      </c>
      <c r="T79" s="57">
        <f t="shared" si="15"/>
        <v>9063.8888888888887</v>
      </c>
      <c r="U79" s="57">
        <f t="shared" si="5"/>
        <v>647008.33666666679</v>
      </c>
      <c r="V79" s="67">
        <f t="shared" si="6"/>
        <v>244027.77777777766</v>
      </c>
      <c r="Y79" s="97">
        <f t="shared" si="21"/>
        <v>0.13</v>
      </c>
      <c r="Z79" s="57">
        <f t="shared" si="17"/>
        <v>9063.8888888888887</v>
      </c>
      <c r="AA79" s="57">
        <f t="shared" si="18"/>
        <v>554699.99999999965</v>
      </c>
      <c r="AD79" s="11"/>
    </row>
    <row r="80" spans="1:30" hidden="1" outlineLevel="1" x14ac:dyDescent="0.35">
      <c r="A80" s="75" t="str">
        <f t="shared" si="0"/>
        <v>No</v>
      </c>
      <c r="B80" s="75">
        <f t="shared" si="19"/>
        <v>3</v>
      </c>
      <c r="C80" s="76">
        <f t="shared" si="1"/>
        <v>0</v>
      </c>
      <c r="D80" s="77">
        <f t="shared" si="2"/>
        <v>43570</v>
      </c>
      <c r="E80" s="77" t="str">
        <f t="shared" si="3"/>
        <v>No</v>
      </c>
      <c r="F80" s="75">
        <f t="shared" si="7"/>
        <v>1</v>
      </c>
      <c r="G80" s="78">
        <f t="shared" si="8"/>
        <v>0</v>
      </c>
      <c r="H80" s="77">
        <f t="shared" si="20"/>
        <v>43845</v>
      </c>
      <c r="I80" s="77" t="str">
        <f t="shared" si="9"/>
        <v>No</v>
      </c>
      <c r="J80" s="75">
        <f t="shared" si="10"/>
        <v>1</v>
      </c>
      <c r="K80" s="78">
        <f t="shared" si="4"/>
        <v>0</v>
      </c>
      <c r="L80" s="12">
        <v>43540</v>
      </c>
      <c r="M80" s="57">
        <f t="shared" si="11"/>
        <v>25100000</v>
      </c>
      <c r="Q80" s="10">
        <f t="shared" si="26"/>
        <v>0.13</v>
      </c>
      <c r="R80" s="10">
        <f t="shared" si="25"/>
        <v>0</v>
      </c>
      <c r="S80" s="60">
        <f t="shared" si="14"/>
        <v>0.13</v>
      </c>
      <c r="T80" s="57">
        <f t="shared" si="15"/>
        <v>9063.8888888888887</v>
      </c>
      <c r="U80" s="57">
        <f t="shared" si="5"/>
        <v>656072.22555555566</v>
      </c>
      <c r="V80" s="67">
        <f t="shared" si="6"/>
        <v>0</v>
      </c>
      <c r="Y80" s="97">
        <f t="shared" si="21"/>
        <v>0.13</v>
      </c>
      <c r="Z80" s="57">
        <f t="shared" si="17"/>
        <v>9063.8888888888887</v>
      </c>
      <c r="AA80" s="57">
        <f t="shared" si="18"/>
        <v>563763.88888888853</v>
      </c>
      <c r="AD80" s="11"/>
    </row>
    <row r="81" spans="1:30" hidden="1" outlineLevel="1" x14ac:dyDescent="0.35">
      <c r="A81" s="75" t="str">
        <f t="shared" si="0"/>
        <v>No</v>
      </c>
      <c r="B81" s="75">
        <f t="shared" si="19"/>
        <v>3</v>
      </c>
      <c r="C81" s="76">
        <f t="shared" si="1"/>
        <v>0</v>
      </c>
      <c r="D81" s="77">
        <f t="shared" si="2"/>
        <v>43570</v>
      </c>
      <c r="E81" s="77" t="str">
        <f t="shared" si="3"/>
        <v>No</v>
      </c>
      <c r="F81" s="75">
        <f t="shared" si="7"/>
        <v>1</v>
      </c>
      <c r="G81" s="78">
        <f t="shared" si="8"/>
        <v>0</v>
      </c>
      <c r="H81" s="77">
        <f t="shared" si="20"/>
        <v>43845</v>
      </c>
      <c r="I81" s="77" t="str">
        <f t="shared" si="9"/>
        <v>No</v>
      </c>
      <c r="J81" s="75">
        <f t="shared" si="10"/>
        <v>1</v>
      </c>
      <c r="K81" s="78">
        <f t="shared" si="4"/>
        <v>0</v>
      </c>
      <c r="L81" s="12">
        <v>43541</v>
      </c>
      <c r="M81" s="57">
        <f t="shared" si="11"/>
        <v>25100000</v>
      </c>
      <c r="Q81" s="10">
        <f t="shared" si="26"/>
        <v>0.13</v>
      </c>
      <c r="R81" s="10">
        <f t="shared" si="25"/>
        <v>0</v>
      </c>
      <c r="S81" s="60">
        <f t="shared" si="14"/>
        <v>0.13</v>
      </c>
      <c r="T81" s="57">
        <f t="shared" si="15"/>
        <v>9063.8888888888887</v>
      </c>
      <c r="U81" s="57">
        <f t="shared" si="5"/>
        <v>665136.11444444454</v>
      </c>
      <c r="V81" s="67">
        <f t="shared" si="6"/>
        <v>0</v>
      </c>
      <c r="Y81" s="97">
        <f t="shared" si="21"/>
        <v>0.13</v>
      </c>
      <c r="Z81" s="57">
        <f t="shared" si="17"/>
        <v>9063.8888888888887</v>
      </c>
      <c r="AA81" s="57">
        <f t="shared" si="18"/>
        <v>572827.7777777774</v>
      </c>
      <c r="AD81" s="11"/>
    </row>
    <row r="82" spans="1:30" hidden="1" outlineLevel="1" x14ac:dyDescent="0.35">
      <c r="A82" s="75" t="str">
        <f t="shared" si="0"/>
        <v>No</v>
      </c>
      <c r="B82" s="75">
        <f t="shared" si="19"/>
        <v>3</v>
      </c>
      <c r="C82" s="76">
        <f t="shared" si="1"/>
        <v>0</v>
      </c>
      <c r="D82" s="77">
        <f t="shared" si="2"/>
        <v>43570</v>
      </c>
      <c r="E82" s="77" t="str">
        <f t="shared" si="3"/>
        <v>No</v>
      </c>
      <c r="F82" s="75">
        <f t="shared" si="7"/>
        <v>1</v>
      </c>
      <c r="G82" s="78">
        <f t="shared" si="8"/>
        <v>0</v>
      </c>
      <c r="H82" s="77">
        <f t="shared" si="20"/>
        <v>43845</v>
      </c>
      <c r="I82" s="77" t="str">
        <f t="shared" si="9"/>
        <v>No</v>
      </c>
      <c r="J82" s="75">
        <f t="shared" si="10"/>
        <v>1</v>
      </c>
      <c r="K82" s="78">
        <f t="shared" si="4"/>
        <v>0</v>
      </c>
      <c r="L82" s="12">
        <v>43542</v>
      </c>
      <c r="M82" s="57">
        <f t="shared" si="11"/>
        <v>25100000</v>
      </c>
      <c r="Q82" s="10">
        <f t="shared" si="26"/>
        <v>0.13</v>
      </c>
      <c r="R82" s="10">
        <f t="shared" si="25"/>
        <v>0</v>
      </c>
      <c r="S82" s="60">
        <f t="shared" si="14"/>
        <v>0.13</v>
      </c>
      <c r="T82" s="57">
        <f t="shared" si="15"/>
        <v>9063.8888888888887</v>
      </c>
      <c r="U82" s="57">
        <f t="shared" si="5"/>
        <v>674200.00333333341</v>
      </c>
      <c r="V82" s="67">
        <f t="shared" si="6"/>
        <v>0</v>
      </c>
      <c r="Y82" s="97">
        <f t="shared" si="21"/>
        <v>0.13</v>
      </c>
      <c r="Z82" s="57">
        <f t="shared" si="17"/>
        <v>9063.8888888888887</v>
      </c>
      <c r="AA82" s="57">
        <f t="shared" si="18"/>
        <v>581891.66666666628</v>
      </c>
      <c r="AD82" s="11"/>
    </row>
    <row r="83" spans="1:30" hidden="1" outlineLevel="1" x14ac:dyDescent="0.35">
      <c r="A83" s="75" t="str">
        <f t="shared" si="0"/>
        <v>No</v>
      </c>
      <c r="B83" s="75">
        <f t="shared" si="19"/>
        <v>3</v>
      </c>
      <c r="C83" s="76">
        <f t="shared" si="1"/>
        <v>0</v>
      </c>
      <c r="D83" s="77">
        <f t="shared" si="2"/>
        <v>43570</v>
      </c>
      <c r="E83" s="77" t="str">
        <f t="shared" si="3"/>
        <v>No</v>
      </c>
      <c r="F83" s="75">
        <f t="shared" si="7"/>
        <v>1</v>
      </c>
      <c r="G83" s="78">
        <f t="shared" si="8"/>
        <v>0</v>
      </c>
      <c r="H83" s="77">
        <f t="shared" si="20"/>
        <v>43845</v>
      </c>
      <c r="I83" s="77" t="str">
        <f t="shared" si="9"/>
        <v>No</v>
      </c>
      <c r="J83" s="75">
        <f t="shared" si="10"/>
        <v>1</v>
      </c>
      <c r="K83" s="78">
        <f t="shared" si="4"/>
        <v>0</v>
      </c>
      <c r="L83" s="12">
        <v>43543</v>
      </c>
      <c r="M83" s="57">
        <f t="shared" si="11"/>
        <v>25100000</v>
      </c>
      <c r="Q83" s="10">
        <f t="shared" si="26"/>
        <v>0.13</v>
      </c>
      <c r="R83" s="10">
        <f t="shared" si="25"/>
        <v>0</v>
      </c>
      <c r="S83" s="60">
        <f t="shared" si="14"/>
        <v>0.13</v>
      </c>
      <c r="T83" s="57">
        <f t="shared" si="15"/>
        <v>9063.8888888888887</v>
      </c>
      <c r="U83" s="57">
        <f t="shared" si="5"/>
        <v>683263.89222222229</v>
      </c>
      <c r="V83" s="67">
        <f t="shared" si="6"/>
        <v>0</v>
      </c>
      <c r="Y83" s="97">
        <f t="shared" si="21"/>
        <v>0.13</v>
      </c>
      <c r="Z83" s="57">
        <f t="shared" si="17"/>
        <v>9063.8888888888887</v>
      </c>
      <c r="AA83" s="57">
        <f t="shared" si="18"/>
        <v>590955.55555555515</v>
      </c>
      <c r="AD83" s="11"/>
    </row>
    <row r="84" spans="1:30" hidden="1" outlineLevel="1" x14ac:dyDescent="0.35">
      <c r="A84" s="75" t="str">
        <f t="shared" ref="A84:A147" si="27">IF(DAY(L84)=DAY(nFirst),"Yes","No")</f>
        <v>No</v>
      </c>
      <c r="B84" s="75">
        <f t="shared" si="19"/>
        <v>3</v>
      </c>
      <c r="C84" s="76">
        <f t="shared" ref="C84:C147" si="28">IF(A84="Yes",SUMIFS($T$20:$T$435,$B$20:$B$435,B84-1),0)</f>
        <v>0</v>
      </c>
      <c r="D84" s="77">
        <f t="shared" ref="D84:D147" si="29">IF(AND(L84&gt;L83,L84&lt;D83),D83,EDATE(L84,3))</f>
        <v>43570</v>
      </c>
      <c r="E84" s="77" t="str">
        <f t="shared" ref="E84:E135" si="30">IF(D84=D83,"No","Yes")</f>
        <v>No</v>
      </c>
      <c r="F84" s="75">
        <f t="shared" si="7"/>
        <v>1</v>
      </c>
      <c r="G84" s="78">
        <f t="shared" si="8"/>
        <v>0</v>
      </c>
      <c r="H84" s="77">
        <f t="shared" si="20"/>
        <v>43845</v>
      </c>
      <c r="I84" s="77" t="str">
        <f t="shared" si="9"/>
        <v>No</v>
      </c>
      <c r="J84" s="75">
        <f t="shared" si="10"/>
        <v>1</v>
      </c>
      <c r="K84" s="78">
        <f t="shared" ref="K84:K91" si="31">IF(I84="Yes",SUMIFS($T$20:$T$435,$J$20:$J$435,J84-1),0)</f>
        <v>0</v>
      </c>
      <c r="L84" s="12">
        <v>43544</v>
      </c>
      <c r="M84" s="57">
        <f t="shared" si="11"/>
        <v>25100000</v>
      </c>
      <c r="Q84" s="10">
        <f t="shared" si="26"/>
        <v>0.13</v>
      </c>
      <c r="R84" s="10">
        <f t="shared" si="25"/>
        <v>0</v>
      </c>
      <c r="S84" s="60">
        <f t="shared" si="14"/>
        <v>0.13</v>
      </c>
      <c r="T84" s="57">
        <f t="shared" si="15"/>
        <v>9063.8888888888887</v>
      </c>
      <c r="U84" s="57">
        <f t="shared" ref="U84:U147" si="32">T84+U83+W83+X83</f>
        <v>692327.78111111117</v>
      </c>
      <c r="V84" s="67">
        <f t="shared" ref="V84:V147" si="33">IF(rngFrequency="Monthly",C84,IF(rngFrequency="Quarterly",G84,IF(rngFrequency="Yearly",K84,FALSE)))</f>
        <v>0</v>
      </c>
      <c r="Y84" s="97">
        <f t="shared" si="21"/>
        <v>0.13</v>
      </c>
      <c r="Z84" s="57">
        <f t="shared" ref="Z84:Z147" si="34">M84*Y84*(1/360)</f>
        <v>9063.8888888888887</v>
      </c>
      <c r="AA84" s="57">
        <f t="shared" si="18"/>
        <v>600019.44444444403</v>
      </c>
      <c r="AD84" s="11"/>
    </row>
    <row r="85" spans="1:30" hidden="1" outlineLevel="1" x14ac:dyDescent="0.35">
      <c r="A85" s="75" t="str">
        <f t="shared" si="27"/>
        <v>No</v>
      </c>
      <c r="B85" s="75">
        <f t="shared" si="19"/>
        <v>3</v>
      </c>
      <c r="C85" s="76">
        <f t="shared" si="28"/>
        <v>0</v>
      </c>
      <c r="D85" s="77">
        <f t="shared" si="29"/>
        <v>43570</v>
      </c>
      <c r="E85" s="77" t="str">
        <f t="shared" si="30"/>
        <v>No</v>
      </c>
      <c r="F85" s="75">
        <f t="shared" ref="F85:F148" si="35">IF(E85="Yes",F84+1,F84)</f>
        <v>1</v>
      </c>
      <c r="G85" s="78">
        <f t="shared" ref="G85:G148" si="36">IF(E85="Yes",SUMIFS($T$20:$T$435,$F$20:$F$435,F85-1),0)</f>
        <v>0</v>
      </c>
      <c r="H85" s="77">
        <f t="shared" si="20"/>
        <v>43845</v>
      </c>
      <c r="I85" s="77" t="str">
        <f t="shared" ref="I85:I148" si="37">IF(H85=H84,"No","Yes")</f>
        <v>No</v>
      </c>
      <c r="J85" s="75">
        <f t="shared" ref="J85:J148" si="38">IF(I85="Yes",J84+1,J84)</f>
        <v>1</v>
      </c>
      <c r="K85" s="78">
        <f t="shared" si="31"/>
        <v>0</v>
      </c>
      <c r="L85" s="12">
        <v>43545</v>
      </c>
      <c r="M85" s="57">
        <f t="shared" ref="M85:M148" si="39">M84+N85+O85+P85</f>
        <v>25100000</v>
      </c>
      <c r="Q85" s="10">
        <f t="shared" si="26"/>
        <v>0.13</v>
      </c>
      <c r="R85" s="10">
        <f t="shared" si="25"/>
        <v>0</v>
      </c>
      <c r="S85" s="60">
        <f t="shared" ref="S85:S148" si="40">Q85+R85</f>
        <v>0.13</v>
      </c>
      <c r="T85" s="57">
        <f t="shared" ref="T85:T148" si="41">M85*S85*(1/360)</f>
        <v>9063.8888888888887</v>
      </c>
      <c r="U85" s="57">
        <f t="shared" si="32"/>
        <v>701391.67</v>
      </c>
      <c r="V85" s="67">
        <f t="shared" si="33"/>
        <v>0</v>
      </c>
      <c r="Y85" s="97">
        <f t="shared" si="21"/>
        <v>0.13</v>
      </c>
      <c r="Z85" s="57">
        <f t="shared" si="34"/>
        <v>9063.8888888888887</v>
      </c>
      <c r="AA85" s="57">
        <f t="shared" ref="AA85:AA148" si="42">Z85+AA84+AB84+AC84</f>
        <v>609083.33333333291</v>
      </c>
      <c r="AD85" s="11"/>
    </row>
    <row r="86" spans="1:30" hidden="1" outlineLevel="1" x14ac:dyDescent="0.35">
      <c r="A86" s="75" t="str">
        <f t="shared" si="27"/>
        <v>No</v>
      </c>
      <c r="B86" s="75">
        <f t="shared" ref="B86:B149" si="43">IF(A86="Yes",B85+1,B85)</f>
        <v>3</v>
      </c>
      <c r="C86" s="76">
        <f t="shared" si="28"/>
        <v>0</v>
      </c>
      <c r="D86" s="77">
        <f t="shared" si="29"/>
        <v>43570</v>
      </c>
      <c r="E86" s="77" t="str">
        <f t="shared" si="30"/>
        <v>No</v>
      </c>
      <c r="F86" s="75">
        <f t="shared" si="35"/>
        <v>1</v>
      </c>
      <c r="G86" s="78">
        <f t="shared" si="36"/>
        <v>0</v>
      </c>
      <c r="H86" s="77">
        <f t="shared" ref="H86:H149" si="44">IF(AND(L86&gt;L85,L86&lt;H85),H85,EDATE(L86,12))</f>
        <v>43845</v>
      </c>
      <c r="I86" s="77" t="str">
        <f t="shared" si="37"/>
        <v>No</v>
      </c>
      <c r="J86" s="75">
        <f t="shared" si="38"/>
        <v>1</v>
      </c>
      <c r="K86" s="78">
        <f t="shared" si="31"/>
        <v>0</v>
      </c>
      <c r="L86" s="12">
        <v>43546</v>
      </c>
      <c r="M86" s="57">
        <f t="shared" si="39"/>
        <v>25100000</v>
      </c>
      <c r="Q86" s="10">
        <f t="shared" si="26"/>
        <v>0.13</v>
      </c>
      <c r="R86" s="10">
        <f t="shared" si="25"/>
        <v>0</v>
      </c>
      <c r="S86" s="60">
        <f t="shared" si="40"/>
        <v>0.13</v>
      </c>
      <c r="T86" s="57">
        <f t="shared" si="41"/>
        <v>9063.8888888888887</v>
      </c>
      <c r="U86" s="57">
        <f t="shared" si="32"/>
        <v>710455.55888888892</v>
      </c>
      <c r="V86" s="67">
        <f t="shared" si="33"/>
        <v>0</v>
      </c>
      <c r="Y86" s="97">
        <f t="shared" si="21"/>
        <v>0.13</v>
      </c>
      <c r="Z86" s="57">
        <f t="shared" si="34"/>
        <v>9063.8888888888887</v>
      </c>
      <c r="AA86" s="57">
        <f t="shared" si="42"/>
        <v>618147.22222222178</v>
      </c>
      <c r="AD86" s="11"/>
    </row>
    <row r="87" spans="1:30" hidden="1" outlineLevel="1" x14ac:dyDescent="0.35">
      <c r="A87" s="75" t="str">
        <f t="shared" si="27"/>
        <v>No</v>
      </c>
      <c r="B87" s="75">
        <f t="shared" si="43"/>
        <v>3</v>
      </c>
      <c r="C87" s="76">
        <f t="shared" si="28"/>
        <v>0</v>
      </c>
      <c r="D87" s="77">
        <f t="shared" si="29"/>
        <v>43570</v>
      </c>
      <c r="E87" s="77" t="str">
        <f t="shared" si="30"/>
        <v>No</v>
      </c>
      <c r="F87" s="75">
        <f t="shared" si="35"/>
        <v>1</v>
      </c>
      <c r="G87" s="78">
        <f t="shared" si="36"/>
        <v>0</v>
      </c>
      <c r="H87" s="77">
        <f t="shared" si="44"/>
        <v>43845</v>
      </c>
      <c r="I87" s="77" t="str">
        <f t="shared" si="37"/>
        <v>No</v>
      </c>
      <c r="J87" s="75">
        <f t="shared" si="38"/>
        <v>1</v>
      </c>
      <c r="K87" s="78">
        <f t="shared" si="31"/>
        <v>0</v>
      </c>
      <c r="L87" s="12">
        <v>43547</v>
      </c>
      <c r="M87" s="57">
        <f t="shared" si="39"/>
        <v>25100000</v>
      </c>
      <c r="Q87" s="10">
        <f t="shared" si="26"/>
        <v>0.13</v>
      </c>
      <c r="R87" s="10">
        <f t="shared" si="25"/>
        <v>0</v>
      </c>
      <c r="S87" s="60">
        <f t="shared" si="40"/>
        <v>0.13</v>
      </c>
      <c r="T87" s="57">
        <f t="shared" si="41"/>
        <v>9063.8888888888887</v>
      </c>
      <c r="U87" s="57">
        <f t="shared" si="32"/>
        <v>719519.44777777779</v>
      </c>
      <c r="V87" s="67">
        <f t="shared" si="33"/>
        <v>0</v>
      </c>
      <c r="Y87" s="97">
        <f t="shared" si="21"/>
        <v>0.13</v>
      </c>
      <c r="Z87" s="57">
        <f t="shared" si="34"/>
        <v>9063.8888888888887</v>
      </c>
      <c r="AA87" s="57">
        <f t="shared" si="42"/>
        <v>627211.11111111066</v>
      </c>
      <c r="AD87" s="11"/>
    </row>
    <row r="88" spans="1:30" hidden="1" outlineLevel="1" x14ac:dyDescent="0.35">
      <c r="A88" s="75" t="str">
        <f t="shared" si="27"/>
        <v>No</v>
      </c>
      <c r="B88" s="75">
        <f t="shared" si="43"/>
        <v>3</v>
      </c>
      <c r="C88" s="76">
        <f t="shared" si="28"/>
        <v>0</v>
      </c>
      <c r="D88" s="77">
        <f t="shared" si="29"/>
        <v>43570</v>
      </c>
      <c r="E88" s="77" t="str">
        <f t="shared" si="30"/>
        <v>No</v>
      </c>
      <c r="F88" s="75">
        <f t="shared" si="35"/>
        <v>1</v>
      </c>
      <c r="G88" s="78">
        <f t="shared" si="36"/>
        <v>0</v>
      </c>
      <c r="H88" s="77">
        <f t="shared" si="44"/>
        <v>43845</v>
      </c>
      <c r="I88" s="77" t="str">
        <f t="shared" si="37"/>
        <v>No</v>
      </c>
      <c r="J88" s="75">
        <f t="shared" si="38"/>
        <v>1</v>
      </c>
      <c r="K88" s="78">
        <f t="shared" si="31"/>
        <v>0</v>
      </c>
      <c r="L88" s="12">
        <v>43548</v>
      </c>
      <c r="M88" s="57">
        <f t="shared" si="39"/>
        <v>25100000</v>
      </c>
      <c r="Q88" s="10">
        <f t="shared" si="26"/>
        <v>0.13</v>
      </c>
      <c r="R88" s="10">
        <f t="shared" si="25"/>
        <v>0</v>
      </c>
      <c r="S88" s="60">
        <f t="shared" si="40"/>
        <v>0.13</v>
      </c>
      <c r="T88" s="57">
        <f t="shared" si="41"/>
        <v>9063.8888888888887</v>
      </c>
      <c r="U88" s="57">
        <f t="shared" si="32"/>
        <v>728583.33666666667</v>
      </c>
      <c r="V88" s="67">
        <f t="shared" si="33"/>
        <v>0</v>
      </c>
      <c r="Y88" s="97">
        <f t="shared" si="21"/>
        <v>0.13</v>
      </c>
      <c r="Z88" s="57">
        <f t="shared" si="34"/>
        <v>9063.8888888888887</v>
      </c>
      <c r="AA88" s="57">
        <f t="shared" si="42"/>
        <v>636274.99999999953</v>
      </c>
      <c r="AD88" s="11"/>
    </row>
    <row r="89" spans="1:30" hidden="1" outlineLevel="1" x14ac:dyDescent="0.35">
      <c r="A89" s="75" t="str">
        <f t="shared" si="27"/>
        <v>No</v>
      </c>
      <c r="B89" s="75">
        <f t="shared" si="43"/>
        <v>3</v>
      </c>
      <c r="C89" s="76">
        <f t="shared" si="28"/>
        <v>0</v>
      </c>
      <c r="D89" s="77">
        <f t="shared" si="29"/>
        <v>43570</v>
      </c>
      <c r="E89" s="77" t="str">
        <f t="shared" si="30"/>
        <v>No</v>
      </c>
      <c r="F89" s="75">
        <f t="shared" si="35"/>
        <v>1</v>
      </c>
      <c r="G89" s="78">
        <f t="shared" si="36"/>
        <v>0</v>
      </c>
      <c r="H89" s="77">
        <f t="shared" si="44"/>
        <v>43845</v>
      </c>
      <c r="I89" s="77" t="str">
        <f t="shared" si="37"/>
        <v>No</v>
      </c>
      <c r="J89" s="75">
        <f t="shared" si="38"/>
        <v>1</v>
      </c>
      <c r="K89" s="78">
        <f t="shared" si="31"/>
        <v>0</v>
      </c>
      <c r="L89" s="12">
        <v>43549</v>
      </c>
      <c r="M89" s="57">
        <f t="shared" si="39"/>
        <v>25100000</v>
      </c>
      <c r="Q89" s="10">
        <f t="shared" si="26"/>
        <v>0.13</v>
      </c>
      <c r="R89" s="10">
        <f t="shared" si="25"/>
        <v>0</v>
      </c>
      <c r="S89" s="60">
        <f t="shared" si="40"/>
        <v>0.13</v>
      </c>
      <c r="T89" s="57">
        <f t="shared" si="41"/>
        <v>9063.8888888888887</v>
      </c>
      <c r="U89" s="57">
        <f t="shared" si="32"/>
        <v>737647.22555555555</v>
      </c>
      <c r="V89" s="67">
        <f t="shared" si="33"/>
        <v>0</v>
      </c>
      <c r="Y89" s="97">
        <f t="shared" si="21"/>
        <v>0.13</v>
      </c>
      <c r="Z89" s="57">
        <f t="shared" si="34"/>
        <v>9063.8888888888887</v>
      </c>
      <c r="AA89" s="57">
        <f t="shared" si="42"/>
        <v>645338.88888888841</v>
      </c>
      <c r="AD89" s="11"/>
    </row>
    <row r="90" spans="1:30" hidden="1" outlineLevel="1" x14ac:dyDescent="0.35">
      <c r="A90" s="75" t="str">
        <f t="shared" si="27"/>
        <v>No</v>
      </c>
      <c r="B90" s="75">
        <f t="shared" si="43"/>
        <v>3</v>
      </c>
      <c r="C90" s="76">
        <f t="shared" si="28"/>
        <v>0</v>
      </c>
      <c r="D90" s="77">
        <f t="shared" si="29"/>
        <v>43570</v>
      </c>
      <c r="E90" s="77" t="str">
        <f t="shared" si="30"/>
        <v>No</v>
      </c>
      <c r="F90" s="75">
        <f t="shared" si="35"/>
        <v>1</v>
      </c>
      <c r="G90" s="78">
        <f t="shared" si="36"/>
        <v>0</v>
      </c>
      <c r="H90" s="77">
        <f t="shared" si="44"/>
        <v>43845</v>
      </c>
      <c r="I90" s="77" t="str">
        <f t="shared" si="37"/>
        <v>No</v>
      </c>
      <c r="J90" s="75">
        <f t="shared" si="38"/>
        <v>1</v>
      </c>
      <c r="K90" s="78">
        <f t="shared" si="31"/>
        <v>0</v>
      </c>
      <c r="L90" s="12">
        <v>43550</v>
      </c>
      <c r="M90" s="57">
        <f t="shared" si="39"/>
        <v>25100000</v>
      </c>
      <c r="Q90" s="10">
        <f t="shared" si="26"/>
        <v>0.13</v>
      </c>
      <c r="R90" s="10">
        <f t="shared" si="25"/>
        <v>0</v>
      </c>
      <c r="S90" s="60">
        <f t="shared" si="40"/>
        <v>0.13</v>
      </c>
      <c r="T90" s="57">
        <f t="shared" si="41"/>
        <v>9063.8888888888887</v>
      </c>
      <c r="U90" s="57">
        <f t="shared" si="32"/>
        <v>746711.11444444442</v>
      </c>
      <c r="V90" s="67">
        <f t="shared" si="33"/>
        <v>0</v>
      </c>
      <c r="Y90" s="97">
        <f t="shared" si="21"/>
        <v>0.13</v>
      </c>
      <c r="Z90" s="57">
        <f t="shared" si="34"/>
        <v>9063.8888888888887</v>
      </c>
      <c r="AA90" s="57">
        <f t="shared" si="42"/>
        <v>654402.77777777729</v>
      </c>
      <c r="AD90" s="11"/>
    </row>
    <row r="91" spans="1:30" hidden="1" outlineLevel="1" x14ac:dyDescent="0.35">
      <c r="A91" s="75" t="str">
        <f t="shared" si="27"/>
        <v>No</v>
      </c>
      <c r="B91" s="75">
        <f t="shared" si="43"/>
        <v>3</v>
      </c>
      <c r="C91" s="76">
        <f t="shared" si="28"/>
        <v>0</v>
      </c>
      <c r="D91" s="77">
        <f t="shared" si="29"/>
        <v>43570</v>
      </c>
      <c r="E91" s="77" t="str">
        <f t="shared" si="30"/>
        <v>No</v>
      </c>
      <c r="F91" s="75">
        <f t="shared" si="35"/>
        <v>1</v>
      </c>
      <c r="G91" s="78">
        <f t="shared" si="36"/>
        <v>0</v>
      </c>
      <c r="H91" s="77">
        <f t="shared" si="44"/>
        <v>43845</v>
      </c>
      <c r="I91" s="77" t="str">
        <f t="shared" si="37"/>
        <v>No</v>
      </c>
      <c r="J91" s="75">
        <f t="shared" si="38"/>
        <v>1</v>
      </c>
      <c r="K91" s="78">
        <f t="shared" si="31"/>
        <v>0</v>
      </c>
      <c r="L91" s="12">
        <v>43551</v>
      </c>
      <c r="M91" s="57">
        <f t="shared" si="39"/>
        <v>25100000</v>
      </c>
      <c r="Q91" s="10">
        <f t="shared" si="26"/>
        <v>0.13</v>
      </c>
      <c r="R91" s="10">
        <f t="shared" si="25"/>
        <v>0</v>
      </c>
      <c r="S91" s="60">
        <f t="shared" si="40"/>
        <v>0.13</v>
      </c>
      <c r="T91" s="57">
        <f t="shared" si="41"/>
        <v>9063.8888888888887</v>
      </c>
      <c r="U91" s="57">
        <f t="shared" si="32"/>
        <v>755775.0033333333</v>
      </c>
      <c r="V91" s="67">
        <f t="shared" si="33"/>
        <v>0</v>
      </c>
      <c r="Y91" s="97">
        <f t="shared" si="21"/>
        <v>0.13</v>
      </c>
      <c r="Z91" s="57">
        <f t="shared" si="34"/>
        <v>9063.8888888888887</v>
      </c>
      <c r="AA91" s="57">
        <f t="shared" si="42"/>
        <v>663466.66666666616</v>
      </c>
      <c r="AD91" s="11"/>
    </row>
    <row r="92" spans="1:30" hidden="1" outlineLevel="1" x14ac:dyDescent="0.35">
      <c r="A92" s="75" t="str">
        <f t="shared" si="27"/>
        <v>No</v>
      </c>
      <c r="B92" s="75">
        <f t="shared" si="43"/>
        <v>3</v>
      </c>
      <c r="C92" s="76">
        <f t="shared" si="28"/>
        <v>0</v>
      </c>
      <c r="D92" s="77">
        <f t="shared" si="29"/>
        <v>43570</v>
      </c>
      <c r="E92" s="77" t="str">
        <f t="shared" si="30"/>
        <v>No</v>
      </c>
      <c r="F92" s="75">
        <f t="shared" si="35"/>
        <v>1</v>
      </c>
      <c r="G92" s="78">
        <f t="shared" si="36"/>
        <v>0</v>
      </c>
      <c r="H92" s="77">
        <f t="shared" si="44"/>
        <v>43845</v>
      </c>
      <c r="I92" s="77" t="str">
        <f t="shared" si="37"/>
        <v>No</v>
      </c>
      <c r="J92" s="75">
        <f t="shared" si="38"/>
        <v>1</v>
      </c>
      <c r="K92" s="78">
        <f>IF(I92="Yes",SUMIFS($T$20:$T$435,$J$20:$J$435,J92-1),0)</f>
        <v>0</v>
      </c>
      <c r="L92" s="12">
        <v>43552</v>
      </c>
      <c r="M92" s="57">
        <f t="shared" si="39"/>
        <v>25100000</v>
      </c>
      <c r="Q92" s="10">
        <f t="shared" si="26"/>
        <v>0.13</v>
      </c>
      <c r="R92" s="10">
        <f t="shared" si="25"/>
        <v>0</v>
      </c>
      <c r="S92" s="60">
        <f t="shared" si="40"/>
        <v>0.13</v>
      </c>
      <c r="T92" s="57">
        <f t="shared" si="41"/>
        <v>9063.8888888888887</v>
      </c>
      <c r="U92" s="57">
        <f t="shared" si="32"/>
        <v>764838.89222222217</v>
      </c>
      <c r="V92" s="67">
        <f t="shared" si="33"/>
        <v>0</v>
      </c>
      <c r="Y92" s="97">
        <f t="shared" si="21"/>
        <v>0.13</v>
      </c>
      <c r="Z92" s="57">
        <f t="shared" si="34"/>
        <v>9063.8888888888887</v>
      </c>
      <c r="AA92" s="57">
        <f t="shared" si="42"/>
        <v>672530.55555555504</v>
      </c>
      <c r="AD92" s="11"/>
    </row>
    <row r="93" spans="1:30" hidden="1" outlineLevel="1" x14ac:dyDescent="0.35">
      <c r="A93" s="75" t="str">
        <f t="shared" si="27"/>
        <v>No</v>
      </c>
      <c r="B93" s="75">
        <f t="shared" si="43"/>
        <v>3</v>
      </c>
      <c r="C93" s="76">
        <f t="shared" si="28"/>
        <v>0</v>
      </c>
      <c r="D93" s="77">
        <f t="shared" si="29"/>
        <v>43570</v>
      </c>
      <c r="E93" s="77" t="str">
        <f t="shared" si="30"/>
        <v>No</v>
      </c>
      <c r="F93" s="75">
        <f t="shared" si="35"/>
        <v>1</v>
      </c>
      <c r="G93" s="78">
        <f t="shared" si="36"/>
        <v>0</v>
      </c>
      <c r="H93" s="77">
        <f t="shared" si="44"/>
        <v>43845</v>
      </c>
      <c r="I93" s="77" t="str">
        <f t="shared" si="37"/>
        <v>No</v>
      </c>
      <c r="J93" s="75">
        <f t="shared" si="38"/>
        <v>1</v>
      </c>
      <c r="K93" s="78">
        <f t="shared" ref="K93:K156" si="45">IF(I93="Yes",SUMIFS($T$20:$T$435,$J$20:$J$435,J93-1),0)</f>
        <v>0</v>
      </c>
      <c r="L93" s="12">
        <v>43553</v>
      </c>
      <c r="M93" s="57">
        <f t="shared" si="39"/>
        <v>25100000</v>
      </c>
      <c r="Q93" s="10">
        <f t="shared" si="26"/>
        <v>0.13</v>
      </c>
      <c r="R93" s="10">
        <f t="shared" si="25"/>
        <v>0</v>
      </c>
      <c r="S93" s="60">
        <f t="shared" si="40"/>
        <v>0.13</v>
      </c>
      <c r="T93" s="57">
        <f t="shared" si="41"/>
        <v>9063.8888888888887</v>
      </c>
      <c r="U93" s="57">
        <f t="shared" si="32"/>
        <v>773902.78111111105</v>
      </c>
      <c r="V93" s="67">
        <f t="shared" si="33"/>
        <v>0</v>
      </c>
      <c r="Y93" s="97">
        <f t="shared" si="21"/>
        <v>0.13</v>
      </c>
      <c r="Z93" s="57">
        <f t="shared" si="34"/>
        <v>9063.8888888888887</v>
      </c>
      <c r="AA93" s="57">
        <f t="shared" si="42"/>
        <v>681594.44444444391</v>
      </c>
      <c r="AD93" s="11"/>
    </row>
    <row r="94" spans="1:30" hidden="1" outlineLevel="1" x14ac:dyDescent="0.35">
      <c r="A94" s="75" t="str">
        <f t="shared" si="27"/>
        <v>No</v>
      </c>
      <c r="B94" s="75">
        <f t="shared" si="43"/>
        <v>3</v>
      </c>
      <c r="C94" s="76">
        <f t="shared" si="28"/>
        <v>0</v>
      </c>
      <c r="D94" s="77">
        <f t="shared" si="29"/>
        <v>43570</v>
      </c>
      <c r="E94" s="77" t="str">
        <f t="shared" si="30"/>
        <v>No</v>
      </c>
      <c r="F94" s="75">
        <f t="shared" si="35"/>
        <v>1</v>
      </c>
      <c r="G94" s="78">
        <f t="shared" si="36"/>
        <v>0</v>
      </c>
      <c r="H94" s="77">
        <f t="shared" si="44"/>
        <v>43845</v>
      </c>
      <c r="I94" s="77" t="str">
        <f t="shared" si="37"/>
        <v>No</v>
      </c>
      <c r="J94" s="75">
        <f t="shared" si="38"/>
        <v>1</v>
      </c>
      <c r="K94" s="78">
        <f t="shared" si="45"/>
        <v>0</v>
      </c>
      <c r="L94" s="12">
        <v>43554</v>
      </c>
      <c r="M94" s="57">
        <f t="shared" si="39"/>
        <v>25100000</v>
      </c>
      <c r="Q94" s="10">
        <f t="shared" si="26"/>
        <v>0.13</v>
      </c>
      <c r="R94" s="10">
        <f t="shared" si="25"/>
        <v>0</v>
      </c>
      <c r="S94" s="60">
        <f t="shared" si="40"/>
        <v>0.13</v>
      </c>
      <c r="T94" s="57">
        <f t="shared" si="41"/>
        <v>9063.8888888888887</v>
      </c>
      <c r="U94" s="57">
        <f t="shared" si="32"/>
        <v>782966.66999999993</v>
      </c>
      <c r="V94" s="67">
        <f t="shared" si="33"/>
        <v>0</v>
      </c>
      <c r="Y94" s="97">
        <f t="shared" si="21"/>
        <v>0.13</v>
      </c>
      <c r="Z94" s="57">
        <f t="shared" si="34"/>
        <v>9063.8888888888887</v>
      </c>
      <c r="AA94" s="57">
        <f t="shared" si="42"/>
        <v>690658.33333333279</v>
      </c>
      <c r="AD94" s="11"/>
    </row>
    <row r="95" spans="1:30" hidden="1" outlineLevel="1" x14ac:dyDescent="0.35">
      <c r="A95" s="75" t="str">
        <f t="shared" si="27"/>
        <v>No</v>
      </c>
      <c r="B95" s="75">
        <f t="shared" si="43"/>
        <v>3</v>
      </c>
      <c r="C95" s="76">
        <f t="shared" si="28"/>
        <v>0</v>
      </c>
      <c r="D95" s="77">
        <f t="shared" si="29"/>
        <v>43570</v>
      </c>
      <c r="E95" s="77" t="str">
        <f t="shared" si="30"/>
        <v>No</v>
      </c>
      <c r="F95" s="75">
        <f t="shared" si="35"/>
        <v>1</v>
      </c>
      <c r="G95" s="78">
        <f t="shared" si="36"/>
        <v>0</v>
      </c>
      <c r="H95" s="77">
        <f t="shared" si="44"/>
        <v>43845</v>
      </c>
      <c r="I95" s="77" t="str">
        <f t="shared" si="37"/>
        <v>No</v>
      </c>
      <c r="J95" s="75">
        <f t="shared" si="38"/>
        <v>1</v>
      </c>
      <c r="K95" s="78">
        <f t="shared" si="45"/>
        <v>0</v>
      </c>
      <c r="L95" s="12">
        <v>43555</v>
      </c>
      <c r="M95" s="57">
        <f t="shared" si="39"/>
        <v>25100000</v>
      </c>
      <c r="Q95" s="10">
        <f t="shared" si="26"/>
        <v>0.13</v>
      </c>
      <c r="R95" s="10">
        <f t="shared" si="25"/>
        <v>0</v>
      </c>
      <c r="S95" s="60">
        <f t="shared" si="40"/>
        <v>0.13</v>
      </c>
      <c r="T95" s="57">
        <f t="shared" si="41"/>
        <v>9063.8888888888887</v>
      </c>
      <c r="U95" s="57">
        <f t="shared" si="32"/>
        <v>792030.5588888888</v>
      </c>
      <c r="V95" s="67">
        <f t="shared" si="33"/>
        <v>0</v>
      </c>
      <c r="Y95" s="97">
        <f t="shared" si="21"/>
        <v>0.13</v>
      </c>
      <c r="Z95" s="57">
        <f t="shared" si="34"/>
        <v>9063.8888888888887</v>
      </c>
      <c r="AA95" s="57">
        <f t="shared" si="42"/>
        <v>699722.22222222167</v>
      </c>
      <c r="AD95" s="11"/>
    </row>
    <row r="96" spans="1:30" hidden="1" outlineLevel="1" x14ac:dyDescent="0.35">
      <c r="A96" s="75" t="str">
        <f t="shared" si="27"/>
        <v>No</v>
      </c>
      <c r="B96" s="75">
        <f t="shared" si="43"/>
        <v>3</v>
      </c>
      <c r="C96" s="76">
        <f t="shared" si="28"/>
        <v>0</v>
      </c>
      <c r="D96" s="77">
        <f t="shared" si="29"/>
        <v>43570</v>
      </c>
      <c r="E96" s="77" t="str">
        <f t="shared" si="30"/>
        <v>No</v>
      </c>
      <c r="F96" s="75">
        <f t="shared" si="35"/>
        <v>1</v>
      </c>
      <c r="G96" s="78">
        <f t="shared" si="36"/>
        <v>0</v>
      </c>
      <c r="H96" s="77">
        <f t="shared" si="44"/>
        <v>43845</v>
      </c>
      <c r="I96" s="77" t="str">
        <f t="shared" si="37"/>
        <v>No</v>
      </c>
      <c r="J96" s="75">
        <f t="shared" si="38"/>
        <v>1</v>
      </c>
      <c r="K96" s="78">
        <f t="shared" si="45"/>
        <v>0</v>
      </c>
      <c r="L96" s="12">
        <v>43556</v>
      </c>
      <c r="M96" s="57">
        <f t="shared" si="39"/>
        <v>25100000</v>
      </c>
      <c r="Q96" s="10">
        <f t="shared" si="26"/>
        <v>0.13</v>
      </c>
      <c r="R96" s="10">
        <f t="shared" si="25"/>
        <v>0</v>
      </c>
      <c r="S96" s="60">
        <f t="shared" si="40"/>
        <v>0.13</v>
      </c>
      <c r="T96" s="57">
        <f t="shared" si="41"/>
        <v>9063.8888888888887</v>
      </c>
      <c r="U96" s="57">
        <f t="shared" si="32"/>
        <v>801094.44777777768</v>
      </c>
      <c r="V96" s="67">
        <f t="shared" si="33"/>
        <v>0</v>
      </c>
      <c r="Y96" s="97">
        <f t="shared" si="21"/>
        <v>0.13</v>
      </c>
      <c r="Z96" s="57">
        <f t="shared" si="34"/>
        <v>9063.8888888888887</v>
      </c>
      <c r="AA96" s="57">
        <f t="shared" si="42"/>
        <v>708786.11111111054</v>
      </c>
      <c r="AD96" s="11"/>
    </row>
    <row r="97" spans="1:30" hidden="1" outlineLevel="1" x14ac:dyDescent="0.35">
      <c r="A97" s="75" t="str">
        <f t="shared" si="27"/>
        <v>No</v>
      </c>
      <c r="B97" s="75">
        <f t="shared" si="43"/>
        <v>3</v>
      </c>
      <c r="C97" s="76">
        <f t="shared" si="28"/>
        <v>0</v>
      </c>
      <c r="D97" s="77">
        <f t="shared" si="29"/>
        <v>43570</v>
      </c>
      <c r="E97" s="77" t="str">
        <f t="shared" si="30"/>
        <v>No</v>
      </c>
      <c r="F97" s="75">
        <f t="shared" si="35"/>
        <v>1</v>
      </c>
      <c r="G97" s="78">
        <f t="shared" si="36"/>
        <v>0</v>
      </c>
      <c r="H97" s="77">
        <f t="shared" si="44"/>
        <v>43845</v>
      </c>
      <c r="I97" s="77" t="str">
        <f t="shared" si="37"/>
        <v>No</v>
      </c>
      <c r="J97" s="75">
        <f t="shared" si="38"/>
        <v>1</v>
      </c>
      <c r="K97" s="78">
        <f t="shared" si="45"/>
        <v>0</v>
      </c>
      <c r="L97" s="12">
        <v>43557</v>
      </c>
      <c r="M97" s="57">
        <f t="shared" si="39"/>
        <v>25100000</v>
      </c>
      <c r="Q97" s="10">
        <f t="shared" si="26"/>
        <v>0.13</v>
      </c>
      <c r="R97" s="10">
        <f t="shared" si="25"/>
        <v>0</v>
      </c>
      <c r="S97" s="60">
        <f t="shared" si="40"/>
        <v>0.13</v>
      </c>
      <c r="T97" s="57">
        <f t="shared" si="41"/>
        <v>9063.8888888888887</v>
      </c>
      <c r="U97" s="57">
        <f t="shared" si="32"/>
        <v>810158.33666666655</v>
      </c>
      <c r="V97" s="67">
        <f t="shared" si="33"/>
        <v>0</v>
      </c>
      <c r="Y97" s="97">
        <f t="shared" si="21"/>
        <v>0.13</v>
      </c>
      <c r="Z97" s="57">
        <f t="shared" si="34"/>
        <v>9063.8888888888887</v>
      </c>
      <c r="AA97" s="57">
        <f t="shared" si="42"/>
        <v>717849.99999999942</v>
      </c>
      <c r="AD97" s="11"/>
    </row>
    <row r="98" spans="1:30" hidden="1" outlineLevel="1" x14ac:dyDescent="0.35">
      <c r="A98" s="75" t="str">
        <f t="shared" si="27"/>
        <v>No</v>
      </c>
      <c r="B98" s="75">
        <f t="shared" si="43"/>
        <v>3</v>
      </c>
      <c r="C98" s="76">
        <f t="shared" si="28"/>
        <v>0</v>
      </c>
      <c r="D98" s="77">
        <f t="shared" si="29"/>
        <v>43570</v>
      </c>
      <c r="E98" s="77" t="str">
        <f t="shared" si="30"/>
        <v>No</v>
      </c>
      <c r="F98" s="75">
        <f t="shared" si="35"/>
        <v>1</v>
      </c>
      <c r="G98" s="78">
        <f t="shared" si="36"/>
        <v>0</v>
      </c>
      <c r="H98" s="77">
        <f t="shared" si="44"/>
        <v>43845</v>
      </c>
      <c r="I98" s="77" t="str">
        <f t="shared" si="37"/>
        <v>No</v>
      </c>
      <c r="J98" s="75">
        <f t="shared" si="38"/>
        <v>1</v>
      </c>
      <c r="K98" s="78">
        <f t="shared" si="45"/>
        <v>0</v>
      </c>
      <c r="L98" s="12">
        <v>43558</v>
      </c>
      <c r="M98" s="57">
        <f t="shared" si="39"/>
        <v>25100000</v>
      </c>
      <c r="Q98" s="10">
        <f t="shared" si="26"/>
        <v>0.13</v>
      </c>
      <c r="R98" s="10">
        <f t="shared" si="25"/>
        <v>0</v>
      </c>
      <c r="S98" s="60">
        <f t="shared" si="40"/>
        <v>0.13</v>
      </c>
      <c r="T98" s="57">
        <f t="shared" si="41"/>
        <v>9063.8888888888887</v>
      </c>
      <c r="U98" s="57">
        <f t="shared" si="32"/>
        <v>819222.22555555543</v>
      </c>
      <c r="V98" s="67">
        <f t="shared" si="33"/>
        <v>0</v>
      </c>
      <c r="Y98" s="97">
        <f t="shared" si="21"/>
        <v>0.13</v>
      </c>
      <c r="Z98" s="57">
        <f t="shared" si="34"/>
        <v>9063.8888888888887</v>
      </c>
      <c r="AA98" s="57">
        <f t="shared" si="42"/>
        <v>726913.88888888829</v>
      </c>
      <c r="AD98" s="11"/>
    </row>
    <row r="99" spans="1:30" hidden="1" outlineLevel="1" x14ac:dyDescent="0.35">
      <c r="A99" s="75" t="str">
        <f t="shared" si="27"/>
        <v>No</v>
      </c>
      <c r="B99" s="75">
        <f t="shared" si="43"/>
        <v>3</v>
      </c>
      <c r="C99" s="76">
        <f t="shared" si="28"/>
        <v>0</v>
      </c>
      <c r="D99" s="77">
        <f t="shared" si="29"/>
        <v>43570</v>
      </c>
      <c r="E99" s="77" t="str">
        <f t="shared" si="30"/>
        <v>No</v>
      </c>
      <c r="F99" s="75">
        <f t="shared" si="35"/>
        <v>1</v>
      </c>
      <c r="G99" s="78">
        <f t="shared" si="36"/>
        <v>0</v>
      </c>
      <c r="H99" s="77">
        <f t="shared" si="44"/>
        <v>43845</v>
      </c>
      <c r="I99" s="77" t="str">
        <f t="shared" si="37"/>
        <v>No</v>
      </c>
      <c r="J99" s="75">
        <f t="shared" si="38"/>
        <v>1</v>
      </c>
      <c r="K99" s="78">
        <f t="shared" si="45"/>
        <v>0</v>
      </c>
      <c r="L99" s="12">
        <v>43559</v>
      </c>
      <c r="M99" s="57">
        <f t="shared" si="39"/>
        <v>25100000</v>
      </c>
      <c r="Q99" s="10">
        <f t="shared" si="26"/>
        <v>0.13</v>
      </c>
      <c r="R99" s="10">
        <f t="shared" si="25"/>
        <v>0</v>
      </c>
      <c r="S99" s="60">
        <f t="shared" si="40"/>
        <v>0.13</v>
      </c>
      <c r="T99" s="57">
        <f t="shared" si="41"/>
        <v>9063.8888888888887</v>
      </c>
      <c r="U99" s="57">
        <f t="shared" si="32"/>
        <v>828286.11444444431</v>
      </c>
      <c r="V99" s="67">
        <f t="shared" si="33"/>
        <v>0</v>
      </c>
      <c r="Y99" s="97">
        <f t="shared" si="21"/>
        <v>0.13</v>
      </c>
      <c r="Z99" s="57">
        <f t="shared" si="34"/>
        <v>9063.8888888888887</v>
      </c>
      <c r="AA99" s="57">
        <f t="shared" si="42"/>
        <v>735977.77777777717</v>
      </c>
      <c r="AD99" s="11"/>
    </row>
    <row r="100" spans="1:30" hidden="1" outlineLevel="1" x14ac:dyDescent="0.35">
      <c r="A100" s="75" t="str">
        <f t="shared" si="27"/>
        <v>No</v>
      </c>
      <c r="B100" s="75">
        <f t="shared" si="43"/>
        <v>3</v>
      </c>
      <c r="C100" s="76">
        <f t="shared" si="28"/>
        <v>0</v>
      </c>
      <c r="D100" s="77">
        <f t="shared" si="29"/>
        <v>43570</v>
      </c>
      <c r="E100" s="77" t="str">
        <f t="shared" si="30"/>
        <v>No</v>
      </c>
      <c r="F100" s="75">
        <f t="shared" si="35"/>
        <v>1</v>
      </c>
      <c r="G100" s="78">
        <f t="shared" si="36"/>
        <v>0</v>
      </c>
      <c r="H100" s="77">
        <f t="shared" si="44"/>
        <v>43845</v>
      </c>
      <c r="I100" s="77" t="str">
        <f t="shared" si="37"/>
        <v>No</v>
      </c>
      <c r="J100" s="75">
        <f t="shared" si="38"/>
        <v>1</v>
      </c>
      <c r="K100" s="78">
        <f t="shared" si="45"/>
        <v>0</v>
      </c>
      <c r="L100" s="12">
        <v>43560</v>
      </c>
      <c r="M100" s="57">
        <f t="shared" si="39"/>
        <v>25100000</v>
      </c>
      <c r="Q100" s="10">
        <f t="shared" si="26"/>
        <v>0.13</v>
      </c>
      <c r="R100" s="10">
        <f t="shared" si="25"/>
        <v>0</v>
      </c>
      <c r="S100" s="60">
        <f t="shared" si="40"/>
        <v>0.13</v>
      </c>
      <c r="T100" s="57">
        <f t="shared" si="41"/>
        <v>9063.8888888888887</v>
      </c>
      <c r="U100" s="57">
        <f t="shared" si="32"/>
        <v>837350.00333333318</v>
      </c>
      <c r="V100" s="67">
        <f t="shared" si="33"/>
        <v>0</v>
      </c>
      <c r="Y100" s="97">
        <f t="shared" si="21"/>
        <v>0.13</v>
      </c>
      <c r="Z100" s="57">
        <f t="shared" si="34"/>
        <v>9063.8888888888887</v>
      </c>
      <c r="AA100" s="57">
        <f t="shared" si="42"/>
        <v>745041.66666666605</v>
      </c>
      <c r="AD100" s="11"/>
    </row>
    <row r="101" spans="1:30" hidden="1" outlineLevel="1" x14ac:dyDescent="0.35">
      <c r="A101" s="75" t="str">
        <f t="shared" si="27"/>
        <v>No</v>
      </c>
      <c r="B101" s="75">
        <f t="shared" si="43"/>
        <v>3</v>
      </c>
      <c r="C101" s="76">
        <f t="shared" si="28"/>
        <v>0</v>
      </c>
      <c r="D101" s="77">
        <f t="shared" si="29"/>
        <v>43570</v>
      </c>
      <c r="E101" s="77" t="str">
        <f t="shared" si="30"/>
        <v>No</v>
      </c>
      <c r="F101" s="75">
        <f t="shared" si="35"/>
        <v>1</v>
      </c>
      <c r="G101" s="78">
        <f t="shared" si="36"/>
        <v>0</v>
      </c>
      <c r="H101" s="77">
        <f t="shared" si="44"/>
        <v>43845</v>
      </c>
      <c r="I101" s="77" t="str">
        <f t="shared" si="37"/>
        <v>No</v>
      </c>
      <c r="J101" s="75">
        <f t="shared" si="38"/>
        <v>1</v>
      </c>
      <c r="K101" s="78">
        <f t="shared" si="45"/>
        <v>0</v>
      </c>
      <c r="L101" s="12">
        <v>43561</v>
      </c>
      <c r="M101" s="57">
        <f t="shared" si="39"/>
        <v>25100000</v>
      </c>
      <c r="Q101" s="10">
        <f t="shared" si="26"/>
        <v>0.13</v>
      </c>
      <c r="R101" s="10">
        <f t="shared" si="25"/>
        <v>0</v>
      </c>
      <c r="S101" s="60">
        <f t="shared" si="40"/>
        <v>0.13</v>
      </c>
      <c r="T101" s="57">
        <f t="shared" si="41"/>
        <v>9063.8888888888887</v>
      </c>
      <c r="U101" s="57">
        <f t="shared" si="32"/>
        <v>846413.89222222206</v>
      </c>
      <c r="V101" s="67">
        <f t="shared" si="33"/>
        <v>0</v>
      </c>
      <c r="Y101" s="97">
        <f t="shared" si="21"/>
        <v>0.13</v>
      </c>
      <c r="Z101" s="57">
        <f t="shared" si="34"/>
        <v>9063.8888888888887</v>
      </c>
      <c r="AA101" s="57">
        <f t="shared" si="42"/>
        <v>754105.55555555492</v>
      </c>
      <c r="AD101" s="11"/>
    </row>
    <row r="102" spans="1:30" hidden="1" outlineLevel="1" x14ac:dyDescent="0.35">
      <c r="A102" s="75" t="str">
        <f t="shared" si="27"/>
        <v>No</v>
      </c>
      <c r="B102" s="75">
        <f t="shared" si="43"/>
        <v>3</v>
      </c>
      <c r="C102" s="76">
        <f t="shared" si="28"/>
        <v>0</v>
      </c>
      <c r="D102" s="77">
        <f t="shared" si="29"/>
        <v>43570</v>
      </c>
      <c r="E102" s="77" t="str">
        <f t="shared" si="30"/>
        <v>No</v>
      </c>
      <c r="F102" s="75">
        <f t="shared" si="35"/>
        <v>1</v>
      </c>
      <c r="G102" s="78">
        <f t="shared" si="36"/>
        <v>0</v>
      </c>
      <c r="H102" s="77">
        <f t="shared" si="44"/>
        <v>43845</v>
      </c>
      <c r="I102" s="77" t="str">
        <f t="shared" si="37"/>
        <v>No</v>
      </c>
      <c r="J102" s="75">
        <f t="shared" si="38"/>
        <v>1</v>
      </c>
      <c r="K102" s="78">
        <f t="shared" si="45"/>
        <v>0</v>
      </c>
      <c r="L102" s="12">
        <v>43562</v>
      </c>
      <c r="M102" s="57">
        <f t="shared" si="39"/>
        <v>25100000</v>
      </c>
      <c r="Q102" s="10">
        <f t="shared" si="26"/>
        <v>0.13</v>
      </c>
      <c r="R102" s="10">
        <f t="shared" si="25"/>
        <v>0</v>
      </c>
      <c r="S102" s="60">
        <f t="shared" si="40"/>
        <v>0.13</v>
      </c>
      <c r="T102" s="57">
        <f t="shared" si="41"/>
        <v>9063.8888888888887</v>
      </c>
      <c r="U102" s="57">
        <f t="shared" si="32"/>
        <v>855477.78111111093</v>
      </c>
      <c r="V102" s="67">
        <f t="shared" si="33"/>
        <v>0</v>
      </c>
      <c r="Y102" s="97">
        <f t="shared" ref="Y102:Y165" si="46">Y101</f>
        <v>0.13</v>
      </c>
      <c r="Z102" s="57">
        <f t="shared" si="34"/>
        <v>9063.8888888888887</v>
      </c>
      <c r="AA102" s="57">
        <f t="shared" si="42"/>
        <v>763169.4444444438</v>
      </c>
      <c r="AD102" s="11"/>
    </row>
    <row r="103" spans="1:30" hidden="1" outlineLevel="1" x14ac:dyDescent="0.35">
      <c r="A103" s="75" t="str">
        <f t="shared" si="27"/>
        <v>No</v>
      </c>
      <c r="B103" s="75">
        <f t="shared" si="43"/>
        <v>3</v>
      </c>
      <c r="C103" s="76">
        <f t="shared" si="28"/>
        <v>0</v>
      </c>
      <c r="D103" s="77">
        <f t="shared" si="29"/>
        <v>43570</v>
      </c>
      <c r="E103" s="77" t="str">
        <f t="shared" si="30"/>
        <v>No</v>
      </c>
      <c r="F103" s="75">
        <f t="shared" si="35"/>
        <v>1</v>
      </c>
      <c r="G103" s="78">
        <f t="shared" si="36"/>
        <v>0</v>
      </c>
      <c r="H103" s="77">
        <f t="shared" si="44"/>
        <v>43845</v>
      </c>
      <c r="I103" s="77" t="str">
        <f t="shared" si="37"/>
        <v>No</v>
      </c>
      <c r="J103" s="75">
        <f t="shared" si="38"/>
        <v>1</v>
      </c>
      <c r="K103" s="78">
        <f t="shared" si="45"/>
        <v>0</v>
      </c>
      <c r="L103" s="12">
        <v>43563</v>
      </c>
      <c r="M103" s="57">
        <f t="shared" si="39"/>
        <v>25100000</v>
      </c>
      <c r="Q103" s="10">
        <f t="shared" si="26"/>
        <v>0.13</v>
      </c>
      <c r="R103" s="10">
        <f t="shared" si="25"/>
        <v>0</v>
      </c>
      <c r="S103" s="60">
        <f t="shared" si="40"/>
        <v>0.13</v>
      </c>
      <c r="T103" s="57">
        <f t="shared" si="41"/>
        <v>9063.8888888888887</v>
      </c>
      <c r="U103" s="57">
        <f t="shared" si="32"/>
        <v>864541.66999999981</v>
      </c>
      <c r="V103" s="67">
        <f t="shared" si="33"/>
        <v>0</v>
      </c>
      <c r="Y103" s="97">
        <f t="shared" si="46"/>
        <v>0.13</v>
      </c>
      <c r="Z103" s="57">
        <f t="shared" si="34"/>
        <v>9063.8888888888887</v>
      </c>
      <c r="AA103" s="57">
        <f t="shared" si="42"/>
        <v>772233.33333333267</v>
      </c>
      <c r="AD103" s="11"/>
    </row>
    <row r="104" spans="1:30" hidden="1" outlineLevel="1" x14ac:dyDescent="0.35">
      <c r="A104" s="75" t="str">
        <f t="shared" si="27"/>
        <v>No</v>
      </c>
      <c r="B104" s="75">
        <f t="shared" si="43"/>
        <v>3</v>
      </c>
      <c r="C104" s="76">
        <f t="shared" si="28"/>
        <v>0</v>
      </c>
      <c r="D104" s="77">
        <f t="shared" si="29"/>
        <v>43570</v>
      </c>
      <c r="E104" s="77" t="str">
        <f t="shared" si="30"/>
        <v>No</v>
      </c>
      <c r="F104" s="75">
        <f t="shared" si="35"/>
        <v>1</v>
      </c>
      <c r="G104" s="78">
        <f t="shared" si="36"/>
        <v>0</v>
      </c>
      <c r="H104" s="77">
        <f t="shared" si="44"/>
        <v>43845</v>
      </c>
      <c r="I104" s="77" t="str">
        <f t="shared" si="37"/>
        <v>No</v>
      </c>
      <c r="J104" s="75">
        <f t="shared" si="38"/>
        <v>1</v>
      </c>
      <c r="K104" s="78">
        <f t="shared" si="45"/>
        <v>0</v>
      </c>
      <c r="L104" s="12">
        <v>43564</v>
      </c>
      <c r="M104" s="57">
        <f t="shared" si="39"/>
        <v>25100000</v>
      </c>
      <c r="Q104" s="10">
        <f t="shared" si="26"/>
        <v>0.13</v>
      </c>
      <c r="R104" s="10">
        <f t="shared" si="25"/>
        <v>0</v>
      </c>
      <c r="S104" s="60">
        <f t="shared" si="40"/>
        <v>0.13</v>
      </c>
      <c r="T104" s="57">
        <f t="shared" si="41"/>
        <v>9063.8888888888887</v>
      </c>
      <c r="U104" s="57">
        <f t="shared" si="32"/>
        <v>873605.55888888869</v>
      </c>
      <c r="V104" s="67">
        <f t="shared" si="33"/>
        <v>0</v>
      </c>
      <c r="Y104" s="97">
        <f t="shared" si="46"/>
        <v>0.13</v>
      </c>
      <c r="Z104" s="57">
        <f t="shared" si="34"/>
        <v>9063.8888888888887</v>
      </c>
      <c r="AA104" s="57">
        <f t="shared" si="42"/>
        <v>781297.22222222155</v>
      </c>
      <c r="AD104" s="11"/>
    </row>
    <row r="105" spans="1:30" hidden="1" outlineLevel="1" x14ac:dyDescent="0.35">
      <c r="A105" s="75" t="str">
        <f t="shared" si="27"/>
        <v>No</v>
      </c>
      <c r="B105" s="75">
        <f t="shared" si="43"/>
        <v>3</v>
      </c>
      <c r="C105" s="76">
        <f t="shared" si="28"/>
        <v>0</v>
      </c>
      <c r="D105" s="77">
        <f t="shared" si="29"/>
        <v>43570</v>
      </c>
      <c r="E105" s="77" t="str">
        <f t="shared" si="30"/>
        <v>No</v>
      </c>
      <c r="F105" s="75">
        <f t="shared" si="35"/>
        <v>1</v>
      </c>
      <c r="G105" s="78">
        <f t="shared" si="36"/>
        <v>0</v>
      </c>
      <c r="H105" s="77">
        <f t="shared" si="44"/>
        <v>43845</v>
      </c>
      <c r="I105" s="77" t="str">
        <f t="shared" si="37"/>
        <v>No</v>
      </c>
      <c r="J105" s="75">
        <f t="shared" si="38"/>
        <v>1</v>
      </c>
      <c r="K105" s="78">
        <f t="shared" si="45"/>
        <v>0</v>
      </c>
      <c r="L105" s="12">
        <v>43565</v>
      </c>
      <c r="M105" s="57">
        <f t="shared" si="39"/>
        <v>25100000</v>
      </c>
      <c r="Q105" s="10">
        <f t="shared" si="26"/>
        <v>0.13</v>
      </c>
      <c r="R105" s="10">
        <f t="shared" si="25"/>
        <v>0</v>
      </c>
      <c r="S105" s="60">
        <f t="shared" si="40"/>
        <v>0.13</v>
      </c>
      <c r="T105" s="57">
        <f t="shared" si="41"/>
        <v>9063.8888888888887</v>
      </c>
      <c r="U105" s="57">
        <f t="shared" si="32"/>
        <v>882669.44777777756</v>
      </c>
      <c r="V105" s="67">
        <f t="shared" si="33"/>
        <v>0</v>
      </c>
      <c r="Y105" s="97">
        <f t="shared" si="46"/>
        <v>0.13</v>
      </c>
      <c r="Z105" s="57">
        <f t="shared" si="34"/>
        <v>9063.8888888888887</v>
      </c>
      <c r="AA105" s="57">
        <f t="shared" si="42"/>
        <v>790361.11111111043</v>
      </c>
      <c r="AD105" s="11"/>
    </row>
    <row r="106" spans="1:30" hidden="1" outlineLevel="1" x14ac:dyDescent="0.35">
      <c r="A106" s="75" t="str">
        <f t="shared" si="27"/>
        <v>No</v>
      </c>
      <c r="B106" s="75">
        <f t="shared" si="43"/>
        <v>3</v>
      </c>
      <c r="C106" s="76">
        <f t="shared" si="28"/>
        <v>0</v>
      </c>
      <c r="D106" s="77">
        <f t="shared" si="29"/>
        <v>43570</v>
      </c>
      <c r="E106" s="77" t="str">
        <f t="shared" si="30"/>
        <v>No</v>
      </c>
      <c r="F106" s="75">
        <f t="shared" si="35"/>
        <v>1</v>
      </c>
      <c r="G106" s="78">
        <f t="shared" si="36"/>
        <v>0</v>
      </c>
      <c r="H106" s="77">
        <f t="shared" si="44"/>
        <v>43845</v>
      </c>
      <c r="I106" s="77" t="str">
        <f t="shared" si="37"/>
        <v>No</v>
      </c>
      <c r="J106" s="75">
        <f t="shared" si="38"/>
        <v>1</v>
      </c>
      <c r="K106" s="78">
        <f t="shared" si="45"/>
        <v>0</v>
      </c>
      <c r="L106" s="12">
        <v>43566</v>
      </c>
      <c r="M106" s="57">
        <f t="shared" si="39"/>
        <v>25100000</v>
      </c>
      <c r="Q106" s="10">
        <f t="shared" si="26"/>
        <v>0.13</v>
      </c>
      <c r="R106" s="10">
        <f t="shared" si="25"/>
        <v>0</v>
      </c>
      <c r="S106" s="60">
        <f t="shared" si="40"/>
        <v>0.13</v>
      </c>
      <c r="T106" s="57">
        <f t="shared" si="41"/>
        <v>9063.8888888888887</v>
      </c>
      <c r="U106" s="57">
        <f t="shared" si="32"/>
        <v>891733.33666666644</v>
      </c>
      <c r="V106" s="67">
        <f t="shared" si="33"/>
        <v>0</v>
      </c>
      <c r="Y106" s="97">
        <f t="shared" si="46"/>
        <v>0.13</v>
      </c>
      <c r="Z106" s="57">
        <f t="shared" si="34"/>
        <v>9063.8888888888887</v>
      </c>
      <c r="AA106" s="57">
        <f t="shared" si="42"/>
        <v>799424.9999999993</v>
      </c>
      <c r="AD106" s="11"/>
    </row>
    <row r="107" spans="1:30" hidden="1" outlineLevel="1" x14ac:dyDescent="0.35">
      <c r="A107" s="75" t="str">
        <f t="shared" si="27"/>
        <v>No</v>
      </c>
      <c r="B107" s="75">
        <f t="shared" si="43"/>
        <v>3</v>
      </c>
      <c r="C107" s="76">
        <f t="shared" si="28"/>
        <v>0</v>
      </c>
      <c r="D107" s="77">
        <f t="shared" si="29"/>
        <v>43570</v>
      </c>
      <c r="E107" s="77" t="str">
        <f t="shared" si="30"/>
        <v>No</v>
      </c>
      <c r="F107" s="75">
        <f t="shared" si="35"/>
        <v>1</v>
      </c>
      <c r="G107" s="78">
        <f t="shared" si="36"/>
        <v>0</v>
      </c>
      <c r="H107" s="77">
        <f t="shared" si="44"/>
        <v>43845</v>
      </c>
      <c r="I107" s="77" t="str">
        <f t="shared" si="37"/>
        <v>No</v>
      </c>
      <c r="J107" s="75">
        <f t="shared" si="38"/>
        <v>1</v>
      </c>
      <c r="K107" s="78">
        <f t="shared" si="45"/>
        <v>0</v>
      </c>
      <c r="L107" s="12">
        <v>43567</v>
      </c>
      <c r="M107" s="57">
        <f t="shared" si="39"/>
        <v>25100000</v>
      </c>
      <c r="Q107" s="10">
        <f t="shared" si="26"/>
        <v>0.13</v>
      </c>
      <c r="R107" s="10">
        <f t="shared" si="25"/>
        <v>0</v>
      </c>
      <c r="S107" s="60">
        <f t="shared" si="40"/>
        <v>0.13</v>
      </c>
      <c r="T107" s="57">
        <f t="shared" si="41"/>
        <v>9063.8888888888887</v>
      </c>
      <c r="U107" s="57">
        <f t="shared" si="32"/>
        <v>900797.22555555531</v>
      </c>
      <c r="V107" s="67">
        <f t="shared" si="33"/>
        <v>0</v>
      </c>
      <c r="Y107" s="97">
        <f t="shared" si="46"/>
        <v>0.13</v>
      </c>
      <c r="Z107" s="57">
        <f t="shared" si="34"/>
        <v>9063.8888888888887</v>
      </c>
      <c r="AA107" s="57">
        <f t="shared" si="42"/>
        <v>808488.88888888818</v>
      </c>
      <c r="AD107" s="11"/>
    </row>
    <row r="108" spans="1:30" hidden="1" outlineLevel="1" x14ac:dyDescent="0.35">
      <c r="A108" s="75" t="str">
        <f t="shared" si="27"/>
        <v>No</v>
      </c>
      <c r="B108" s="75">
        <f t="shared" si="43"/>
        <v>3</v>
      </c>
      <c r="C108" s="76">
        <f t="shared" si="28"/>
        <v>0</v>
      </c>
      <c r="D108" s="77">
        <f t="shared" si="29"/>
        <v>43570</v>
      </c>
      <c r="E108" s="77" t="str">
        <f t="shared" si="30"/>
        <v>No</v>
      </c>
      <c r="F108" s="75">
        <f t="shared" si="35"/>
        <v>1</v>
      </c>
      <c r="G108" s="78">
        <f t="shared" si="36"/>
        <v>0</v>
      </c>
      <c r="H108" s="77">
        <f t="shared" si="44"/>
        <v>43845</v>
      </c>
      <c r="I108" s="77" t="str">
        <f t="shared" si="37"/>
        <v>No</v>
      </c>
      <c r="J108" s="75">
        <f t="shared" si="38"/>
        <v>1</v>
      </c>
      <c r="K108" s="78">
        <f t="shared" si="45"/>
        <v>0</v>
      </c>
      <c r="L108" s="12">
        <v>43568</v>
      </c>
      <c r="M108" s="57">
        <f t="shared" si="39"/>
        <v>25100000</v>
      </c>
      <c r="Q108" s="10">
        <f t="shared" si="26"/>
        <v>0.13</v>
      </c>
      <c r="R108" s="10">
        <f t="shared" si="25"/>
        <v>0</v>
      </c>
      <c r="S108" s="60">
        <f t="shared" si="40"/>
        <v>0.13</v>
      </c>
      <c r="T108" s="57">
        <f t="shared" si="41"/>
        <v>9063.8888888888887</v>
      </c>
      <c r="U108" s="57">
        <f t="shared" si="32"/>
        <v>909861.11444444419</v>
      </c>
      <c r="V108" s="67">
        <f t="shared" si="33"/>
        <v>0</v>
      </c>
      <c r="Y108" s="97">
        <f t="shared" si="46"/>
        <v>0.13</v>
      </c>
      <c r="Z108" s="57">
        <f t="shared" si="34"/>
        <v>9063.8888888888887</v>
      </c>
      <c r="AA108" s="57">
        <f t="shared" si="42"/>
        <v>817552.77777777705</v>
      </c>
      <c r="AD108" s="11"/>
    </row>
    <row r="109" spans="1:30" hidden="1" outlineLevel="1" x14ac:dyDescent="0.35">
      <c r="A109" s="75" t="str">
        <f t="shared" si="27"/>
        <v>No</v>
      </c>
      <c r="B109" s="75">
        <f t="shared" si="43"/>
        <v>3</v>
      </c>
      <c r="C109" s="76">
        <f t="shared" si="28"/>
        <v>0</v>
      </c>
      <c r="D109" s="77">
        <f t="shared" si="29"/>
        <v>43570</v>
      </c>
      <c r="E109" s="77" t="str">
        <f t="shared" si="30"/>
        <v>No</v>
      </c>
      <c r="F109" s="75">
        <f t="shared" si="35"/>
        <v>1</v>
      </c>
      <c r="G109" s="78">
        <f t="shared" si="36"/>
        <v>0</v>
      </c>
      <c r="H109" s="77">
        <f t="shared" si="44"/>
        <v>43845</v>
      </c>
      <c r="I109" s="77" t="str">
        <f t="shared" si="37"/>
        <v>No</v>
      </c>
      <c r="J109" s="75">
        <f t="shared" si="38"/>
        <v>1</v>
      </c>
      <c r="K109" s="78">
        <f t="shared" si="45"/>
        <v>0</v>
      </c>
      <c r="L109" s="12">
        <v>43569</v>
      </c>
      <c r="M109" s="57">
        <f t="shared" si="39"/>
        <v>25100000</v>
      </c>
      <c r="Q109" s="10">
        <f t="shared" si="26"/>
        <v>0.13</v>
      </c>
      <c r="R109" s="10">
        <f t="shared" si="25"/>
        <v>0</v>
      </c>
      <c r="S109" s="60">
        <f t="shared" si="40"/>
        <v>0.13</v>
      </c>
      <c r="T109" s="57">
        <f t="shared" si="41"/>
        <v>9063.8888888888887</v>
      </c>
      <c r="U109" s="57">
        <f t="shared" si="32"/>
        <v>918925.00333333306</v>
      </c>
      <c r="V109" s="67">
        <f t="shared" si="33"/>
        <v>0</v>
      </c>
      <c r="Y109" s="97">
        <f t="shared" si="46"/>
        <v>0.13</v>
      </c>
      <c r="Z109" s="57">
        <f t="shared" si="34"/>
        <v>9063.8888888888887</v>
      </c>
      <c r="AA109" s="57">
        <f t="shared" si="42"/>
        <v>826616.66666666593</v>
      </c>
      <c r="AD109" s="11"/>
    </row>
    <row r="110" spans="1:30" hidden="1" outlineLevel="1" x14ac:dyDescent="0.35">
      <c r="A110" s="75" t="str">
        <f t="shared" si="27"/>
        <v>Yes</v>
      </c>
      <c r="B110" s="75">
        <f t="shared" si="43"/>
        <v>4</v>
      </c>
      <c r="C110" s="76">
        <f t="shared" si="28"/>
        <v>280980.55555555539</v>
      </c>
      <c r="D110" s="77">
        <f t="shared" si="29"/>
        <v>43661</v>
      </c>
      <c r="E110" s="77" t="str">
        <f t="shared" si="30"/>
        <v>Yes</v>
      </c>
      <c r="F110" s="75">
        <f t="shared" si="35"/>
        <v>2</v>
      </c>
      <c r="G110" s="78">
        <f t="shared" si="36"/>
        <v>783508.33333333302</v>
      </c>
      <c r="H110" s="77">
        <f t="shared" si="44"/>
        <v>43845</v>
      </c>
      <c r="I110" s="77" t="str">
        <f t="shared" si="37"/>
        <v>No</v>
      </c>
      <c r="J110" s="75">
        <f t="shared" si="38"/>
        <v>1</v>
      </c>
      <c r="K110" s="78">
        <f t="shared" si="45"/>
        <v>0</v>
      </c>
      <c r="L110" s="12">
        <v>43570</v>
      </c>
      <c r="M110" s="57">
        <f t="shared" si="39"/>
        <v>25100000</v>
      </c>
      <c r="Q110" s="10">
        <f t="shared" si="26"/>
        <v>0.13</v>
      </c>
      <c r="R110" s="10">
        <f t="shared" si="25"/>
        <v>0</v>
      </c>
      <c r="S110" s="60">
        <f t="shared" si="40"/>
        <v>0.13</v>
      </c>
      <c r="T110" s="57">
        <f t="shared" si="41"/>
        <v>9063.8888888888887</v>
      </c>
      <c r="U110" s="57">
        <f t="shared" si="32"/>
        <v>927988.89222222194</v>
      </c>
      <c r="V110" s="67">
        <f t="shared" si="33"/>
        <v>280980.55555555539</v>
      </c>
      <c r="Y110" s="97">
        <f t="shared" si="46"/>
        <v>0.13</v>
      </c>
      <c r="Z110" s="57">
        <f t="shared" si="34"/>
        <v>9063.8888888888887</v>
      </c>
      <c r="AA110" s="57">
        <f t="shared" si="42"/>
        <v>835680.55555555481</v>
      </c>
      <c r="AD110" s="11"/>
    </row>
    <row r="111" spans="1:30" hidden="1" outlineLevel="1" x14ac:dyDescent="0.35">
      <c r="A111" s="75" t="str">
        <f t="shared" si="27"/>
        <v>No</v>
      </c>
      <c r="B111" s="75">
        <f t="shared" si="43"/>
        <v>4</v>
      </c>
      <c r="C111" s="76">
        <f t="shared" si="28"/>
        <v>0</v>
      </c>
      <c r="D111" s="77">
        <f t="shared" si="29"/>
        <v>43661</v>
      </c>
      <c r="E111" s="77" t="str">
        <f t="shared" si="30"/>
        <v>No</v>
      </c>
      <c r="F111" s="75">
        <f t="shared" si="35"/>
        <v>2</v>
      </c>
      <c r="G111" s="78">
        <f t="shared" si="36"/>
        <v>0</v>
      </c>
      <c r="H111" s="77">
        <f t="shared" si="44"/>
        <v>43845</v>
      </c>
      <c r="I111" s="77" t="str">
        <f t="shared" si="37"/>
        <v>No</v>
      </c>
      <c r="J111" s="75">
        <f t="shared" si="38"/>
        <v>1</v>
      </c>
      <c r="K111" s="78">
        <f t="shared" si="45"/>
        <v>0</v>
      </c>
      <c r="L111" s="12">
        <v>43571</v>
      </c>
      <c r="M111" s="57">
        <f t="shared" si="39"/>
        <v>25100000</v>
      </c>
      <c r="Q111" s="10">
        <f t="shared" si="26"/>
        <v>0.13</v>
      </c>
      <c r="R111" s="10">
        <f t="shared" si="25"/>
        <v>0</v>
      </c>
      <c r="S111" s="60">
        <f t="shared" si="40"/>
        <v>0.13</v>
      </c>
      <c r="T111" s="57">
        <f t="shared" si="41"/>
        <v>9063.8888888888887</v>
      </c>
      <c r="U111" s="57">
        <f t="shared" si="32"/>
        <v>937052.78111111082</v>
      </c>
      <c r="V111" s="67">
        <f t="shared" si="33"/>
        <v>0</v>
      </c>
      <c r="Y111" s="97">
        <f t="shared" si="46"/>
        <v>0.13</v>
      </c>
      <c r="Z111" s="57">
        <f t="shared" si="34"/>
        <v>9063.8888888888887</v>
      </c>
      <c r="AA111" s="57">
        <f t="shared" si="42"/>
        <v>844744.44444444368</v>
      </c>
      <c r="AD111" s="11"/>
    </row>
    <row r="112" spans="1:30" hidden="1" outlineLevel="1" x14ac:dyDescent="0.35">
      <c r="A112" s="75" t="str">
        <f t="shared" si="27"/>
        <v>No</v>
      </c>
      <c r="B112" s="75">
        <f t="shared" si="43"/>
        <v>4</v>
      </c>
      <c r="C112" s="76">
        <f t="shared" si="28"/>
        <v>0</v>
      </c>
      <c r="D112" s="77">
        <f t="shared" si="29"/>
        <v>43661</v>
      </c>
      <c r="E112" s="77" t="str">
        <f t="shared" si="30"/>
        <v>No</v>
      </c>
      <c r="F112" s="75">
        <f t="shared" si="35"/>
        <v>2</v>
      </c>
      <c r="G112" s="78">
        <f t="shared" si="36"/>
        <v>0</v>
      </c>
      <c r="H112" s="77">
        <f t="shared" si="44"/>
        <v>43845</v>
      </c>
      <c r="I112" s="77" t="str">
        <f t="shared" si="37"/>
        <v>No</v>
      </c>
      <c r="J112" s="75">
        <f t="shared" si="38"/>
        <v>1</v>
      </c>
      <c r="K112" s="78">
        <f t="shared" si="45"/>
        <v>0</v>
      </c>
      <c r="L112" s="12">
        <v>43572</v>
      </c>
      <c r="M112" s="57">
        <f t="shared" si="39"/>
        <v>25100000</v>
      </c>
      <c r="Q112" s="10">
        <f t="shared" si="26"/>
        <v>0.13</v>
      </c>
      <c r="R112" s="10">
        <f t="shared" si="25"/>
        <v>0</v>
      </c>
      <c r="S112" s="60">
        <f t="shared" si="40"/>
        <v>0.13</v>
      </c>
      <c r="T112" s="57">
        <f t="shared" si="41"/>
        <v>9063.8888888888887</v>
      </c>
      <c r="U112" s="57">
        <f t="shared" si="32"/>
        <v>946116.66999999969</v>
      </c>
      <c r="V112" s="67">
        <f t="shared" si="33"/>
        <v>0</v>
      </c>
      <c r="Y112" s="97">
        <f t="shared" si="46"/>
        <v>0.13</v>
      </c>
      <c r="Z112" s="57">
        <f t="shared" si="34"/>
        <v>9063.8888888888887</v>
      </c>
      <c r="AA112" s="57">
        <f t="shared" si="42"/>
        <v>853808.33333333256</v>
      </c>
      <c r="AD112" s="11"/>
    </row>
    <row r="113" spans="1:30" hidden="1" outlineLevel="1" x14ac:dyDescent="0.35">
      <c r="A113" s="75" t="str">
        <f t="shared" si="27"/>
        <v>No</v>
      </c>
      <c r="B113" s="75">
        <f t="shared" si="43"/>
        <v>4</v>
      </c>
      <c r="C113" s="76">
        <f t="shared" si="28"/>
        <v>0</v>
      </c>
      <c r="D113" s="77">
        <f t="shared" si="29"/>
        <v>43661</v>
      </c>
      <c r="E113" s="77" t="str">
        <f t="shared" si="30"/>
        <v>No</v>
      </c>
      <c r="F113" s="75">
        <f t="shared" si="35"/>
        <v>2</v>
      </c>
      <c r="G113" s="78">
        <f t="shared" si="36"/>
        <v>0</v>
      </c>
      <c r="H113" s="77">
        <f t="shared" si="44"/>
        <v>43845</v>
      </c>
      <c r="I113" s="77" t="str">
        <f t="shared" si="37"/>
        <v>No</v>
      </c>
      <c r="J113" s="75">
        <f t="shared" si="38"/>
        <v>1</v>
      </c>
      <c r="K113" s="78">
        <f t="shared" si="45"/>
        <v>0</v>
      </c>
      <c r="L113" s="12">
        <v>43573</v>
      </c>
      <c r="M113" s="57">
        <f t="shared" si="39"/>
        <v>25100000</v>
      </c>
      <c r="Q113" s="10">
        <f t="shared" si="26"/>
        <v>0.13</v>
      </c>
      <c r="R113" s="10">
        <f t="shared" si="25"/>
        <v>0</v>
      </c>
      <c r="S113" s="60">
        <f t="shared" si="40"/>
        <v>0.13</v>
      </c>
      <c r="T113" s="57">
        <f t="shared" si="41"/>
        <v>9063.8888888888887</v>
      </c>
      <c r="U113" s="57">
        <f t="shared" si="32"/>
        <v>955180.55888888857</v>
      </c>
      <c r="V113" s="67">
        <f t="shared" si="33"/>
        <v>0</v>
      </c>
      <c r="Y113" s="97">
        <f t="shared" si="46"/>
        <v>0.13</v>
      </c>
      <c r="Z113" s="57">
        <f t="shared" si="34"/>
        <v>9063.8888888888887</v>
      </c>
      <c r="AA113" s="57">
        <f t="shared" si="42"/>
        <v>862872.22222222143</v>
      </c>
      <c r="AD113" s="11"/>
    </row>
    <row r="114" spans="1:30" hidden="1" outlineLevel="1" x14ac:dyDescent="0.35">
      <c r="A114" s="75" t="str">
        <f t="shared" si="27"/>
        <v>No</v>
      </c>
      <c r="B114" s="75">
        <f t="shared" si="43"/>
        <v>4</v>
      </c>
      <c r="C114" s="76">
        <f t="shared" si="28"/>
        <v>0</v>
      </c>
      <c r="D114" s="77">
        <f t="shared" si="29"/>
        <v>43661</v>
      </c>
      <c r="E114" s="77" t="str">
        <f t="shared" si="30"/>
        <v>No</v>
      </c>
      <c r="F114" s="75">
        <f t="shared" si="35"/>
        <v>2</v>
      </c>
      <c r="G114" s="78">
        <f t="shared" si="36"/>
        <v>0</v>
      </c>
      <c r="H114" s="77">
        <f t="shared" si="44"/>
        <v>43845</v>
      </c>
      <c r="I114" s="77" t="str">
        <f t="shared" si="37"/>
        <v>No</v>
      </c>
      <c r="J114" s="75">
        <f t="shared" si="38"/>
        <v>1</v>
      </c>
      <c r="K114" s="78">
        <f t="shared" si="45"/>
        <v>0</v>
      </c>
      <c r="L114" s="12">
        <v>43574</v>
      </c>
      <c r="M114" s="57">
        <f t="shared" si="39"/>
        <v>25100000</v>
      </c>
      <c r="Q114" s="10">
        <f t="shared" si="26"/>
        <v>0.13</v>
      </c>
      <c r="R114" s="10">
        <f t="shared" si="25"/>
        <v>0</v>
      </c>
      <c r="S114" s="60">
        <f t="shared" si="40"/>
        <v>0.13</v>
      </c>
      <c r="T114" s="57">
        <f t="shared" si="41"/>
        <v>9063.8888888888887</v>
      </c>
      <c r="U114" s="57">
        <f t="shared" si="32"/>
        <v>964244.44777777744</v>
      </c>
      <c r="V114" s="67">
        <f t="shared" si="33"/>
        <v>0</v>
      </c>
      <c r="Y114" s="97">
        <f t="shared" si="46"/>
        <v>0.13</v>
      </c>
      <c r="Z114" s="57">
        <f t="shared" si="34"/>
        <v>9063.8888888888887</v>
      </c>
      <c r="AA114" s="57">
        <f t="shared" si="42"/>
        <v>871936.11111111031</v>
      </c>
      <c r="AD114" s="11"/>
    </row>
    <row r="115" spans="1:30" hidden="1" outlineLevel="1" x14ac:dyDescent="0.35">
      <c r="A115" s="75" t="str">
        <f t="shared" si="27"/>
        <v>No</v>
      </c>
      <c r="B115" s="75">
        <f t="shared" si="43"/>
        <v>4</v>
      </c>
      <c r="C115" s="76">
        <f t="shared" si="28"/>
        <v>0</v>
      </c>
      <c r="D115" s="77">
        <f t="shared" si="29"/>
        <v>43661</v>
      </c>
      <c r="E115" s="77" t="str">
        <f t="shared" si="30"/>
        <v>No</v>
      </c>
      <c r="F115" s="75">
        <f t="shared" si="35"/>
        <v>2</v>
      </c>
      <c r="G115" s="78">
        <f t="shared" si="36"/>
        <v>0</v>
      </c>
      <c r="H115" s="77">
        <f t="shared" si="44"/>
        <v>43845</v>
      </c>
      <c r="I115" s="77" t="str">
        <f t="shared" si="37"/>
        <v>No</v>
      </c>
      <c r="J115" s="75">
        <f t="shared" si="38"/>
        <v>1</v>
      </c>
      <c r="K115" s="78">
        <f t="shared" si="45"/>
        <v>0</v>
      </c>
      <c r="L115" s="12">
        <v>43575</v>
      </c>
      <c r="M115" s="57">
        <f t="shared" si="39"/>
        <v>25100000</v>
      </c>
      <c r="Q115" s="10">
        <f t="shared" si="26"/>
        <v>0.13</v>
      </c>
      <c r="R115" s="10">
        <f t="shared" si="25"/>
        <v>0</v>
      </c>
      <c r="S115" s="60">
        <f t="shared" si="40"/>
        <v>0.13</v>
      </c>
      <c r="T115" s="57">
        <f t="shared" si="41"/>
        <v>9063.8888888888887</v>
      </c>
      <c r="U115" s="57">
        <f t="shared" si="32"/>
        <v>973308.33666666632</v>
      </c>
      <c r="V115" s="67">
        <f t="shared" si="33"/>
        <v>0</v>
      </c>
      <c r="Y115" s="97">
        <f t="shared" si="46"/>
        <v>0.13</v>
      </c>
      <c r="Z115" s="57">
        <f t="shared" si="34"/>
        <v>9063.8888888888887</v>
      </c>
      <c r="AA115" s="57">
        <f t="shared" si="42"/>
        <v>880999.99999999919</v>
      </c>
      <c r="AD115" s="11"/>
    </row>
    <row r="116" spans="1:30" hidden="1" outlineLevel="1" x14ac:dyDescent="0.35">
      <c r="A116" s="75" t="str">
        <f t="shared" si="27"/>
        <v>No</v>
      </c>
      <c r="B116" s="75">
        <f t="shared" si="43"/>
        <v>4</v>
      </c>
      <c r="C116" s="76">
        <f t="shared" si="28"/>
        <v>0</v>
      </c>
      <c r="D116" s="77">
        <f t="shared" si="29"/>
        <v>43661</v>
      </c>
      <c r="E116" s="77" t="str">
        <f t="shared" si="30"/>
        <v>No</v>
      </c>
      <c r="F116" s="75">
        <f t="shared" si="35"/>
        <v>2</v>
      </c>
      <c r="G116" s="78">
        <f t="shared" si="36"/>
        <v>0</v>
      </c>
      <c r="H116" s="77">
        <f t="shared" si="44"/>
        <v>43845</v>
      </c>
      <c r="I116" s="77" t="str">
        <f t="shared" si="37"/>
        <v>No</v>
      </c>
      <c r="J116" s="75">
        <f t="shared" si="38"/>
        <v>1</v>
      </c>
      <c r="K116" s="78">
        <f t="shared" si="45"/>
        <v>0</v>
      </c>
      <c r="L116" s="12">
        <v>43576</v>
      </c>
      <c r="M116" s="57">
        <f t="shared" si="39"/>
        <v>25100000</v>
      </c>
      <c r="Q116" s="10">
        <f t="shared" si="26"/>
        <v>0.13</v>
      </c>
      <c r="R116" s="10">
        <f t="shared" si="25"/>
        <v>0</v>
      </c>
      <c r="S116" s="60">
        <f t="shared" si="40"/>
        <v>0.13</v>
      </c>
      <c r="T116" s="57">
        <f t="shared" si="41"/>
        <v>9063.8888888888887</v>
      </c>
      <c r="U116" s="57">
        <f t="shared" si="32"/>
        <v>982372.2255555552</v>
      </c>
      <c r="V116" s="67">
        <f t="shared" si="33"/>
        <v>0</v>
      </c>
      <c r="Y116" s="97">
        <f t="shared" si="46"/>
        <v>0.13</v>
      </c>
      <c r="Z116" s="57">
        <f t="shared" si="34"/>
        <v>9063.8888888888887</v>
      </c>
      <c r="AA116" s="57">
        <f t="shared" si="42"/>
        <v>890063.88888888806</v>
      </c>
      <c r="AD116" s="11"/>
    </row>
    <row r="117" spans="1:30" hidden="1" outlineLevel="1" x14ac:dyDescent="0.35">
      <c r="A117" s="75" t="str">
        <f t="shared" si="27"/>
        <v>No</v>
      </c>
      <c r="B117" s="75">
        <f t="shared" si="43"/>
        <v>4</v>
      </c>
      <c r="C117" s="76">
        <f t="shared" si="28"/>
        <v>0</v>
      </c>
      <c r="D117" s="77">
        <f t="shared" si="29"/>
        <v>43661</v>
      </c>
      <c r="E117" s="77" t="str">
        <f t="shared" si="30"/>
        <v>No</v>
      </c>
      <c r="F117" s="75">
        <f t="shared" si="35"/>
        <v>2</v>
      </c>
      <c r="G117" s="78">
        <f t="shared" si="36"/>
        <v>0</v>
      </c>
      <c r="H117" s="77">
        <f t="shared" si="44"/>
        <v>43845</v>
      </c>
      <c r="I117" s="77" t="str">
        <f t="shared" si="37"/>
        <v>No</v>
      </c>
      <c r="J117" s="75">
        <f t="shared" si="38"/>
        <v>1</v>
      </c>
      <c r="K117" s="78">
        <f t="shared" si="45"/>
        <v>0</v>
      </c>
      <c r="L117" s="12">
        <v>43577</v>
      </c>
      <c r="M117" s="57">
        <f t="shared" si="39"/>
        <v>25100000</v>
      </c>
      <c r="Q117" s="10">
        <f t="shared" si="26"/>
        <v>0.13</v>
      </c>
      <c r="R117" s="10">
        <f t="shared" si="25"/>
        <v>0</v>
      </c>
      <c r="S117" s="60">
        <f t="shared" si="40"/>
        <v>0.13</v>
      </c>
      <c r="T117" s="57">
        <f t="shared" si="41"/>
        <v>9063.8888888888887</v>
      </c>
      <c r="U117" s="57">
        <f t="shared" si="32"/>
        <v>991436.11444444407</v>
      </c>
      <c r="V117" s="67">
        <f t="shared" si="33"/>
        <v>0</v>
      </c>
      <c r="Y117" s="97">
        <f t="shared" si="46"/>
        <v>0.13</v>
      </c>
      <c r="Z117" s="57">
        <f t="shared" si="34"/>
        <v>9063.8888888888887</v>
      </c>
      <c r="AA117" s="57">
        <f t="shared" si="42"/>
        <v>899127.77777777694</v>
      </c>
      <c r="AD117" s="11"/>
    </row>
    <row r="118" spans="1:30" hidden="1" outlineLevel="1" x14ac:dyDescent="0.35">
      <c r="A118" s="75" t="str">
        <f t="shared" si="27"/>
        <v>No</v>
      </c>
      <c r="B118" s="75">
        <f t="shared" si="43"/>
        <v>4</v>
      </c>
      <c r="C118" s="76">
        <f t="shared" si="28"/>
        <v>0</v>
      </c>
      <c r="D118" s="77">
        <f t="shared" si="29"/>
        <v>43661</v>
      </c>
      <c r="E118" s="77" t="str">
        <f t="shared" si="30"/>
        <v>No</v>
      </c>
      <c r="F118" s="75">
        <f t="shared" si="35"/>
        <v>2</v>
      </c>
      <c r="G118" s="78">
        <f t="shared" si="36"/>
        <v>0</v>
      </c>
      <c r="H118" s="77">
        <f t="shared" si="44"/>
        <v>43845</v>
      </c>
      <c r="I118" s="77" t="str">
        <f t="shared" si="37"/>
        <v>No</v>
      </c>
      <c r="J118" s="75">
        <f t="shared" si="38"/>
        <v>1</v>
      </c>
      <c r="K118" s="78">
        <f t="shared" si="45"/>
        <v>0</v>
      </c>
      <c r="L118" s="12">
        <v>43578</v>
      </c>
      <c r="M118" s="57">
        <f t="shared" si="39"/>
        <v>25100000</v>
      </c>
      <c r="Q118" s="10">
        <f t="shared" si="26"/>
        <v>0.13</v>
      </c>
      <c r="R118" s="10">
        <f t="shared" si="25"/>
        <v>0</v>
      </c>
      <c r="S118" s="60">
        <f t="shared" si="40"/>
        <v>0.13</v>
      </c>
      <c r="T118" s="57">
        <f t="shared" si="41"/>
        <v>9063.8888888888887</v>
      </c>
      <c r="U118" s="57">
        <f t="shared" si="32"/>
        <v>1000500.0033333329</v>
      </c>
      <c r="V118" s="67">
        <f t="shared" si="33"/>
        <v>0</v>
      </c>
      <c r="Y118" s="97">
        <f t="shared" si="46"/>
        <v>0.13</v>
      </c>
      <c r="Z118" s="57">
        <f t="shared" si="34"/>
        <v>9063.8888888888887</v>
      </c>
      <c r="AA118" s="57">
        <f t="shared" si="42"/>
        <v>908191.66666666581</v>
      </c>
      <c r="AD118" s="11"/>
    </row>
    <row r="119" spans="1:30" hidden="1" outlineLevel="1" x14ac:dyDescent="0.35">
      <c r="A119" s="75" t="str">
        <f t="shared" si="27"/>
        <v>No</v>
      </c>
      <c r="B119" s="75">
        <f t="shared" si="43"/>
        <v>4</v>
      </c>
      <c r="C119" s="76">
        <f t="shared" si="28"/>
        <v>0</v>
      </c>
      <c r="D119" s="77">
        <f t="shared" si="29"/>
        <v>43661</v>
      </c>
      <c r="E119" s="77" t="str">
        <f t="shared" si="30"/>
        <v>No</v>
      </c>
      <c r="F119" s="75">
        <f t="shared" si="35"/>
        <v>2</v>
      </c>
      <c r="G119" s="78">
        <f t="shared" si="36"/>
        <v>0</v>
      </c>
      <c r="H119" s="77">
        <f t="shared" si="44"/>
        <v>43845</v>
      </c>
      <c r="I119" s="77" t="str">
        <f t="shared" si="37"/>
        <v>No</v>
      </c>
      <c r="J119" s="75">
        <f t="shared" si="38"/>
        <v>1</v>
      </c>
      <c r="K119" s="78">
        <f t="shared" si="45"/>
        <v>0</v>
      </c>
      <c r="L119" s="12">
        <v>43579</v>
      </c>
      <c r="M119" s="57">
        <f t="shared" si="39"/>
        <v>25100000</v>
      </c>
      <c r="Q119" s="10">
        <f t="shared" si="26"/>
        <v>0.13</v>
      </c>
      <c r="R119" s="10">
        <f t="shared" si="25"/>
        <v>0</v>
      </c>
      <c r="S119" s="60">
        <f t="shared" si="40"/>
        <v>0.13</v>
      </c>
      <c r="T119" s="57">
        <f t="shared" si="41"/>
        <v>9063.8888888888887</v>
      </c>
      <c r="U119" s="57">
        <f t="shared" si="32"/>
        <v>1009563.8922222218</v>
      </c>
      <c r="V119" s="67">
        <f t="shared" si="33"/>
        <v>0</v>
      </c>
      <c r="Y119" s="97">
        <f t="shared" si="46"/>
        <v>0.13</v>
      </c>
      <c r="Z119" s="57">
        <f t="shared" si="34"/>
        <v>9063.8888888888887</v>
      </c>
      <c r="AA119" s="57">
        <f t="shared" si="42"/>
        <v>917255.55555555469</v>
      </c>
      <c r="AD119" s="11"/>
    </row>
    <row r="120" spans="1:30" hidden="1" outlineLevel="1" x14ac:dyDescent="0.35">
      <c r="A120" s="75" t="str">
        <f t="shared" si="27"/>
        <v>No</v>
      </c>
      <c r="B120" s="75">
        <f t="shared" si="43"/>
        <v>4</v>
      </c>
      <c r="C120" s="76">
        <f t="shared" si="28"/>
        <v>0</v>
      </c>
      <c r="D120" s="77">
        <f t="shared" si="29"/>
        <v>43661</v>
      </c>
      <c r="E120" s="77" t="str">
        <f t="shared" si="30"/>
        <v>No</v>
      </c>
      <c r="F120" s="75">
        <f t="shared" si="35"/>
        <v>2</v>
      </c>
      <c r="G120" s="78">
        <f t="shared" si="36"/>
        <v>0</v>
      </c>
      <c r="H120" s="77">
        <f t="shared" si="44"/>
        <v>43845</v>
      </c>
      <c r="I120" s="77" t="str">
        <f t="shared" si="37"/>
        <v>No</v>
      </c>
      <c r="J120" s="75">
        <f t="shared" si="38"/>
        <v>1</v>
      </c>
      <c r="K120" s="78">
        <f t="shared" si="45"/>
        <v>0</v>
      </c>
      <c r="L120" s="12">
        <v>43580</v>
      </c>
      <c r="M120" s="57">
        <f t="shared" si="39"/>
        <v>25100000</v>
      </c>
      <c r="Q120" s="10">
        <f t="shared" si="26"/>
        <v>0.13</v>
      </c>
      <c r="R120" s="10">
        <f t="shared" ref="R120:R183" si="47">R119</f>
        <v>0</v>
      </c>
      <c r="S120" s="60">
        <f t="shared" si="40"/>
        <v>0.13</v>
      </c>
      <c r="T120" s="57">
        <f t="shared" si="41"/>
        <v>9063.8888888888887</v>
      </c>
      <c r="U120" s="57">
        <f t="shared" si="32"/>
        <v>1018627.7811111107</v>
      </c>
      <c r="V120" s="67">
        <f t="shared" si="33"/>
        <v>0</v>
      </c>
      <c r="Y120" s="97">
        <f t="shared" si="46"/>
        <v>0.13</v>
      </c>
      <c r="Z120" s="57">
        <f t="shared" si="34"/>
        <v>9063.8888888888887</v>
      </c>
      <c r="AA120" s="57">
        <f t="shared" si="42"/>
        <v>926319.44444444356</v>
      </c>
      <c r="AD120" s="11"/>
    </row>
    <row r="121" spans="1:30" hidden="1" outlineLevel="1" x14ac:dyDescent="0.35">
      <c r="A121" s="75" t="str">
        <f t="shared" si="27"/>
        <v>No</v>
      </c>
      <c r="B121" s="75">
        <f t="shared" si="43"/>
        <v>4</v>
      </c>
      <c r="C121" s="76">
        <f t="shared" si="28"/>
        <v>0</v>
      </c>
      <c r="D121" s="77">
        <f t="shared" si="29"/>
        <v>43661</v>
      </c>
      <c r="E121" s="77" t="str">
        <f t="shared" si="30"/>
        <v>No</v>
      </c>
      <c r="F121" s="75">
        <f t="shared" si="35"/>
        <v>2</v>
      </c>
      <c r="G121" s="78">
        <f t="shared" si="36"/>
        <v>0</v>
      </c>
      <c r="H121" s="77">
        <f t="shared" si="44"/>
        <v>43845</v>
      </c>
      <c r="I121" s="77" t="str">
        <f t="shared" si="37"/>
        <v>No</v>
      </c>
      <c r="J121" s="75">
        <f t="shared" si="38"/>
        <v>1</v>
      </c>
      <c r="K121" s="78">
        <f t="shared" si="45"/>
        <v>0</v>
      </c>
      <c r="L121" s="12">
        <v>43581</v>
      </c>
      <c r="M121" s="57">
        <f t="shared" si="39"/>
        <v>25100000</v>
      </c>
      <c r="Q121" s="10">
        <f t="shared" si="26"/>
        <v>0.13</v>
      </c>
      <c r="R121" s="10">
        <f t="shared" si="47"/>
        <v>0</v>
      </c>
      <c r="S121" s="60">
        <f t="shared" si="40"/>
        <v>0.13</v>
      </c>
      <c r="T121" s="57">
        <f t="shared" si="41"/>
        <v>9063.8888888888887</v>
      </c>
      <c r="U121" s="57">
        <f t="shared" si="32"/>
        <v>1027691.6699999996</v>
      </c>
      <c r="V121" s="67">
        <f t="shared" si="33"/>
        <v>0</v>
      </c>
      <c r="Y121" s="97">
        <f t="shared" si="46"/>
        <v>0.13</v>
      </c>
      <c r="Z121" s="57">
        <f t="shared" si="34"/>
        <v>9063.8888888888887</v>
      </c>
      <c r="AA121" s="57">
        <f t="shared" si="42"/>
        <v>935383.33333333244</v>
      </c>
      <c r="AD121" s="11"/>
    </row>
    <row r="122" spans="1:30" hidden="1" outlineLevel="1" x14ac:dyDescent="0.35">
      <c r="A122" s="75" t="str">
        <f t="shared" si="27"/>
        <v>No</v>
      </c>
      <c r="B122" s="75">
        <f t="shared" si="43"/>
        <v>4</v>
      </c>
      <c r="C122" s="76">
        <f t="shared" si="28"/>
        <v>0</v>
      </c>
      <c r="D122" s="77">
        <f t="shared" si="29"/>
        <v>43661</v>
      </c>
      <c r="E122" s="77" t="str">
        <f t="shared" si="30"/>
        <v>No</v>
      </c>
      <c r="F122" s="75">
        <f t="shared" si="35"/>
        <v>2</v>
      </c>
      <c r="G122" s="78">
        <f t="shared" si="36"/>
        <v>0</v>
      </c>
      <c r="H122" s="77">
        <f t="shared" si="44"/>
        <v>43845</v>
      </c>
      <c r="I122" s="77" t="str">
        <f t="shared" si="37"/>
        <v>No</v>
      </c>
      <c r="J122" s="75">
        <f t="shared" si="38"/>
        <v>1</v>
      </c>
      <c r="K122" s="78">
        <f t="shared" si="45"/>
        <v>0</v>
      </c>
      <c r="L122" s="12">
        <v>43582</v>
      </c>
      <c r="M122" s="57">
        <f t="shared" si="39"/>
        <v>25100000</v>
      </c>
      <c r="Q122" s="10">
        <f t="shared" si="26"/>
        <v>0.13</v>
      </c>
      <c r="R122" s="10">
        <f t="shared" si="47"/>
        <v>0</v>
      </c>
      <c r="S122" s="60">
        <f t="shared" si="40"/>
        <v>0.13</v>
      </c>
      <c r="T122" s="57">
        <f t="shared" si="41"/>
        <v>9063.8888888888887</v>
      </c>
      <c r="U122" s="57">
        <f t="shared" si="32"/>
        <v>1036755.5588888885</v>
      </c>
      <c r="V122" s="67">
        <f t="shared" si="33"/>
        <v>0</v>
      </c>
      <c r="Y122" s="97">
        <f t="shared" si="46"/>
        <v>0.13</v>
      </c>
      <c r="Z122" s="57">
        <f t="shared" si="34"/>
        <v>9063.8888888888887</v>
      </c>
      <c r="AA122" s="57">
        <f t="shared" si="42"/>
        <v>944447.22222222132</v>
      </c>
      <c r="AD122" s="11"/>
    </row>
    <row r="123" spans="1:30" hidden="1" outlineLevel="1" x14ac:dyDescent="0.35">
      <c r="A123" s="75" t="str">
        <f t="shared" si="27"/>
        <v>No</v>
      </c>
      <c r="B123" s="75">
        <f t="shared" si="43"/>
        <v>4</v>
      </c>
      <c r="C123" s="76">
        <f t="shared" si="28"/>
        <v>0</v>
      </c>
      <c r="D123" s="77">
        <f t="shared" si="29"/>
        <v>43661</v>
      </c>
      <c r="E123" s="77" t="str">
        <f t="shared" si="30"/>
        <v>No</v>
      </c>
      <c r="F123" s="75">
        <f t="shared" si="35"/>
        <v>2</v>
      </c>
      <c r="G123" s="78">
        <f t="shared" si="36"/>
        <v>0</v>
      </c>
      <c r="H123" s="77">
        <f t="shared" si="44"/>
        <v>43845</v>
      </c>
      <c r="I123" s="77" t="str">
        <f t="shared" si="37"/>
        <v>No</v>
      </c>
      <c r="J123" s="75">
        <f t="shared" si="38"/>
        <v>1</v>
      </c>
      <c r="K123" s="78">
        <f t="shared" si="45"/>
        <v>0</v>
      </c>
      <c r="L123" s="12">
        <v>43583</v>
      </c>
      <c r="M123" s="57">
        <f t="shared" si="39"/>
        <v>25100000</v>
      </c>
      <c r="Q123" s="10">
        <f t="shared" si="26"/>
        <v>0.13</v>
      </c>
      <c r="R123" s="10">
        <f t="shared" si="47"/>
        <v>0</v>
      </c>
      <c r="S123" s="60">
        <f t="shared" si="40"/>
        <v>0.13</v>
      </c>
      <c r="T123" s="57">
        <f t="shared" si="41"/>
        <v>9063.8888888888887</v>
      </c>
      <c r="U123" s="57">
        <f t="shared" si="32"/>
        <v>1045819.4477777773</v>
      </c>
      <c r="V123" s="67">
        <f t="shared" si="33"/>
        <v>0</v>
      </c>
      <c r="Y123" s="97">
        <f t="shared" si="46"/>
        <v>0.13</v>
      </c>
      <c r="Z123" s="57">
        <f t="shared" si="34"/>
        <v>9063.8888888888887</v>
      </c>
      <c r="AA123" s="57">
        <f t="shared" si="42"/>
        <v>953511.11111111019</v>
      </c>
      <c r="AD123" s="11"/>
    </row>
    <row r="124" spans="1:30" hidden="1" outlineLevel="1" x14ac:dyDescent="0.35">
      <c r="A124" s="75" t="str">
        <f t="shared" si="27"/>
        <v>No</v>
      </c>
      <c r="B124" s="75">
        <f t="shared" si="43"/>
        <v>4</v>
      </c>
      <c r="C124" s="76">
        <f t="shared" si="28"/>
        <v>0</v>
      </c>
      <c r="D124" s="77">
        <f t="shared" si="29"/>
        <v>43661</v>
      </c>
      <c r="E124" s="77" t="str">
        <f t="shared" si="30"/>
        <v>No</v>
      </c>
      <c r="F124" s="75">
        <f t="shared" si="35"/>
        <v>2</v>
      </c>
      <c r="G124" s="78">
        <f t="shared" si="36"/>
        <v>0</v>
      </c>
      <c r="H124" s="77">
        <f t="shared" si="44"/>
        <v>43845</v>
      </c>
      <c r="I124" s="77" t="str">
        <f t="shared" si="37"/>
        <v>No</v>
      </c>
      <c r="J124" s="75">
        <f t="shared" si="38"/>
        <v>1</v>
      </c>
      <c r="K124" s="78">
        <f t="shared" si="45"/>
        <v>0</v>
      </c>
      <c r="L124" s="12">
        <v>43584</v>
      </c>
      <c r="M124" s="57">
        <f t="shared" si="39"/>
        <v>25100000</v>
      </c>
      <c r="Q124" s="10">
        <f t="shared" si="26"/>
        <v>0.13</v>
      </c>
      <c r="R124" s="10">
        <f t="shared" si="47"/>
        <v>0</v>
      </c>
      <c r="S124" s="60">
        <f t="shared" si="40"/>
        <v>0.13</v>
      </c>
      <c r="T124" s="57">
        <f t="shared" si="41"/>
        <v>9063.8888888888887</v>
      </c>
      <c r="U124" s="57">
        <f t="shared" si="32"/>
        <v>1054883.3366666662</v>
      </c>
      <c r="V124" s="67">
        <f t="shared" si="33"/>
        <v>0</v>
      </c>
      <c r="Y124" s="97">
        <f t="shared" si="46"/>
        <v>0.13</v>
      </c>
      <c r="Z124" s="57">
        <f t="shared" si="34"/>
        <v>9063.8888888888887</v>
      </c>
      <c r="AA124" s="57">
        <f t="shared" si="42"/>
        <v>962574.99999999907</v>
      </c>
      <c r="AD124" s="11"/>
    </row>
    <row r="125" spans="1:30" hidden="1" outlineLevel="1" x14ac:dyDescent="0.35">
      <c r="A125" s="75" t="str">
        <f t="shared" si="27"/>
        <v>No</v>
      </c>
      <c r="B125" s="75">
        <f t="shared" si="43"/>
        <v>4</v>
      </c>
      <c r="C125" s="76">
        <f t="shared" si="28"/>
        <v>0</v>
      </c>
      <c r="D125" s="77">
        <f t="shared" si="29"/>
        <v>43661</v>
      </c>
      <c r="E125" s="77" t="str">
        <f t="shared" si="30"/>
        <v>No</v>
      </c>
      <c r="F125" s="75">
        <f t="shared" si="35"/>
        <v>2</v>
      </c>
      <c r="G125" s="78">
        <f t="shared" si="36"/>
        <v>0</v>
      </c>
      <c r="H125" s="77">
        <f t="shared" si="44"/>
        <v>43845</v>
      </c>
      <c r="I125" s="77" t="str">
        <f t="shared" si="37"/>
        <v>No</v>
      </c>
      <c r="J125" s="75">
        <f t="shared" si="38"/>
        <v>1</v>
      </c>
      <c r="K125" s="78">
        <f t="shared" si="45"/>
        <v>0</v>
      </c>
      <c r="L125" s="12">
        <v>43585</v>
      </c>
      <c r="M125" s="57">
        <f t="shared" si="39"/>
        <v>25100000</v>
      </c>
      <c r="Q125" s="10">
        <f t="shared" si="26"/>
        <v>0.13</v>
      </c>
      <c r="R125" s="10">
        <f t="shared" si="47"/>
        <v>0</v>
      </c>
      <c r="S125" s="60">
        <f t="shared" si="40"/>
        <v>0.13</v>
      </c>
      <c r="T125" s="57">
        <f t="shared" si="41"/>
        <v>9063.8888888888887</v>
      </c>
      <c r="U125" s="57">
        <f t="shared" si="32"/>
        <v>1063947.2255555552</v>
      </c>
      <c r="V125" s="67">
        <f t="shared" si="33"/>
        <v>0</v>
      </c>
      <c r="Y125" s="97">
        <f t="shared" si="46"/>
        <v>0.13</v>
      </c>
      <c r="Z125" s="57">
        <f t="shared" si="34"/>
        <v>9063.8888888888887</v>
      </c>
      <c r="AA125" s="57">
        <f t="shared" si="42"/>
        <v>971638.88888888794</v>
      </c>
      <c r="AD125" s="11"/>
    </row>
    <row r="126" spans="1:30" hidden="1" outlineLevel="1" x14ac:dyDescent="0.35">
      <c r="A126" s="75" t="str">
        <f t="shared" si="27"/>
        <v>No</v>
      </c>
      <c r="B126" s="75">
        <f t="shared" si="43"/>
        <v>4</v>
      </c>
      <c r="C126" s="76">
        <f t="shared" si="28"/>
        <v>0</v>
      </c>
      <c r="D126" s="77">
        <f t="shared" si="29"/>
        <v>43661</v>
      </c>
      <c r="E126" s="77" t="str">
        <f t="shared" si="30"/>
        <v>No</v>
      </c>
      <c r="F126" s="75">
        <f t="shared" si="35"/>
        <v>2</v>
      </c>
      <c r="G126" s="78">
        <f t="shared" si="36"/>
        <v>0</v>
      </c>
      <c r="H126" s="77">
        <f t="shared" si="44"/>
        <v>43845</v>
      </c>
      <c r="I126" s="77" t="str">
        <f t="shared" si="37"/>
        <v>No</v>
      </c>
      <c r="J126" s="75">
        <f t="shared" si="38"/>
        <v>1</v>
      </c>
      <c r="K126" s="78">
        <f t="shared" si="45"/>
        <v>0</v>
      </c>
      <c r="L126" s="12">
        <v>43586</v>
      </c>
      <c r="M126" s="57">
        <f t="shared" si="39"/>
        <v>25100000</v>
      </c>
      <c r="Q126" s="10">
        <f t="shared" si="26"/>
        <v>0.13</v>
      </c>
      <c r="R126" s="10">
        <f t="shared" si="47"/>
        <v>0</v>
      </c>
      <c r="S126" s="60">
        <f t="shared" si="40"/>
        <v>0.13</v>
      </c>
      <c r="T126" s="57">
        <f t="shared" si="41"/>
        <v>9063.8888888888887</v>
      </c>
      <c r="U126" s="57">
        <f t="shared" si="32"/>
        <v>1073011.1144444442</v>
      </c>
      <c r="V126" s="67">
        <f t="shared" si="33"/>
        <v>0</v>
      </c>
      <c r="Y126" s="97">
        <f t="shared" si="46"/>
        <v>0.13</v>
      </c>
      <c r="Z126" s="57">
        <f t="shared" si="34"/>
        <v>9063.8888888888887</v>
      </c>
      <c r="AA126" s="57">
        <f t="shared" si="42"/>
        <v>980702.77777777682</v>
      </c>
      <c r="AD126" s="11"/>
    </row>
    <row r="127" spans="1:30" hidden="1" outlineLevel="1" x14ac:dyDescent="0.35">
      <c r="A127" s="75" t="str">
        <f t="shared" si="27"/>
        <v>No</v>
      </c>
      <c r="B127" s="75">
        <f t="shared" si="43"/>
        <v>4</v>
      </c>
      <c r="C127" s="76">
        <f t="shared" si="28"/>
        <v>0</v>
      </c>
      <c r="D127" s="77">
        <f t="shared" si="29"/>
        <v>43661</v>
      </c>
      <c r="E127" s="77" t="str">
        <f t="shared" si="30"/>
        <v>No</v>
      </c>
      <c r="F127" s="75">
        <f t="shared" si="35"/>
        <v>2</v>
      </c>
      <c r="G127" s="78">
        <f t="shared" si="36"/>
        <v>0</v>
      </c>
      <c r="H127" s="77">
        <f t="shared" si="44"/>
        <v>43845</v>
      </c>
      <c r="I127" s="77" t="str">
        <f t="shared" si="37"/>
        <v>No</v>
      </c>
      <c r="J127" s="75">
        <f t="shared" si="38"/>
        <v>1</v>
      </c>
      <c r="K127" s="78">
        <f t="shared" si="45"/>
        <v>0</v>
      </c>
      <c r="L127" s="12">
        <v>43587</v>
      </c>
      <c r="M127" s="57">
        <f t="shared" si="39"/>
        <v>25100000</v>
      </c>
      <c r="Q127" s="10">
        <f t="shared" si="26"/>
        <v>0.13</v>
      </c>
      <c r="R127" s="10">
        <f t="shared" si="47"/>
        <v>0</v>
      </c>
      <c r="S127" s="60">
        <f t="shared" si="40"/>
        <v>0.13</v>
      </c>
      <c r="T127" s="57">
        <f t="shared" si="41"/>
        <v>9063.8888888888887</v>
      </c>
      <c r="U127" s="57">
        <f t="shared" si="32"/>
        <v>1082075.0033333332</v>
      </c>
      <c r="V127" s="67">
        <f t="shared" si="33"/>
        <v>0</v>
      </c>
      <c r="Y127" s="97">
        <f t="shared" si="46"/>
        <v>0.13</v>
      </c>
      <c r="Z127" s="57">
        <f t="shared" si="34"/>
        <v>9063.8888888888887</v>
      </c>
      <c r="AA127" s="57">
        <f t="shared" si="42"/>
        <v>989766.6666666657</v>
      </c>
      <c r="AD127" s="11"/>
    </row>
    <row r="128" spans="1:30" hidden="1" outlineLevel="1" x14ac:dyDescent="0.35">
      <c r="A128" s="75" t="str">
        <f t="shared" si="27"/>
        <v>No</v>
      </c>
      <c r="B128" s="75">
        <f t="shared" si="43"/>
        <v>4</v>
      </c>
      <c r="C128" s="76">
        <f t="shared" si="28"/>
        <v>0</v>
      </c>
      <c r="D128" s="77">
        <f t="shared" si="29"/>
        <v>43661</v>
      </c>
      <c r="E128" s="77" t="str">
        <f t="shared" si="30"/>
        <v>No</v>
      </c>
      <c r="F128" s="75">
        <f t="shared" si="35"/>
        <v>2</v>
      </c>
      <c r="G128" s="78">
        <f t="shared" si="36"/>
        <v>0</v>
      </c>
      <c r="H128" s="77">
        <f t="shared" si="44"/>
        <v>43845</v>
      </c>
      <c r="I128" s="77" t="str">
        <f t="shared" si="37"/>
        <v>No</v>
      </c>
      <c r="J128" s="75">
        <f t="shared" si="38"/>
        <v>1</v>
      </c>
      <c r="K128" s="78">
        <f t="shared" si="45"/>
        <v>0</v>
      </c>
      <c r="L128" s="12">
        <v>43588</v>
      </c>
      <c r="M128" s="57">
        <f t="shared" si="39"/>
        <v>25100000</v>
      </c>
      <c r="Q128" s="10">
        <f t="shared" si="26"/>
        <v>0.13</v>
      </c>
      <c r="R128" s="10">
        <f t="shared" si="47"/>
        <v>0</v>
      </c>
      <c r="S128" s="60">
        <f t="shared" si="40"/>
        <v>0.13</v>
      </c>
      <c r="T128" s="57">
        <f t="shared" si="41"/>
        <v>9063.8888888888887</v>
      </c>
      <c r="U128" s="57">
        <f t="shared" si="32"/>
        <v>1091138.8922222222</v>
      </c>
      <c r="V128" s="67">
        <f t="shared" si="33"/>
        <v>0</v>
      </c>
      <c r="Y128" s="97">
        <f t="shared" si="46"/>
        <v>0.13</v>
      </c>
      <c r="Z128" s="57">
        <f t="shared" si="34"/>
        <v>9063.8888888888887</v>
      </c>
      <c r="AA128" s="57">
        <f t="shared" si="42"/>
        <v>998830.55555555457</v>
      </c>
      <c r="AD128" s="11"/>
    </row>
    <row r="129" spans="1:30" hidden="1" outlineLevel="1" x14ac:dyDescent="0.35">
      <c r="A129" s="75" t="str">
        <f t="shared" si="27"/>
        <v>No</v>
      </c>
      <c r="B129" s="75">
        <f t="shared" si="43"/>
        <v>4</v>
      </c>
      <c r="C129" s="76">
        <f t="shared" si="28"/>
        <v>0</v>
      </c>
      <c r="D129" s="77">
        <f t="shared" si="29"/>
        <v>43661</v>
      </c>
      <c r="E129" s="77" t="str">
        <f t="shared" si="30"/>
        <v>No</v>
      </c>
      <c r="F129" s="75">
        <f t="shared" si="35"/>
        <v>2</v>
      </c>
      <c r="G129" s="78">
        <f t="shared" si="36"/>
        <v>0</v>
      </c>
      <c r="H129" s="77">
        <f t="shared" si="44"/>
        <v>43845</v>
      </c>
      <c r="I129" s="77" t="str">
        <f t="shared" si="37"/>
        <v>No</v>
      </c>
      <c r="J129" s="75">
        <f t="shared" si="38"/>
        <v>1</v>
      </c>
      <c r="K129" s="78">
        <f t="shared" si="45"/>
        <v>0</v>
      </c>
      <c r="L129" s="12">
        <v>43589</v>
      </c>
      <c r="M129" s="57">
        <f t="shared" si="39"/>
        <v>25100000</v>
      </c>
      <c r="Q129" s="10">
        <f t="shared" si="26"/>
        <v>0.13</v>
      </c>
      <c r="R129" s="10">
        <f t="shared" si="47"/>
        <v>0</v>
      </c>
      <c r="S129" s="60">
        <f t="shared" si="40"/>
        <v>0.13</v>
      </c>
      <c r="T129" s="57">
        <f t="shared" si="41"/>
        <v>9063.8888888888887</v>
      </c>
      <c r="U129" s="57">
        <f t="shared" si="32"/>
        <v>1100202.7811111112</v>
      </c>
      <c r="V129" s="67">
        <f t="shared" si="33"/>
        <v>0</v>
      </c>
      <c r="Y129" s="97">
        <f t="shared" si="46"/>
        <v>0.13</v>
      </c>
      <c r="Z129" s="57">
        <f t="shared" si="34"/>
        <v>9063.8888888888887</v>
      </c>
      <c r="AA129" s="57">
        <f t="shared" si="42"/>
        <v>1007894.4444444434</v>
      </c>
      <c r="AD129" s="11"/>
    </row>
    <row r="130" spans="1:30" hidden="1" outlineLevel="1" x14ac:dyDescent="0.35">
      <c r="A130" s="75" t="str">
        <f t="shared" si="27"/>
        <v>No</v>
      </c>
      <c r="B130" s="75">
        <f t="shared" si="43"/>
        <v>4</v>
      </c>
      <c r="C130" s="76">
        <f t="shared" si="28"/>
        <v>0</v>
      </c>
      <c r="D130" s="77">
        <f t="shared" si="29"/>
        <v>43661</v>
      </c>
      <c r="E130" s="77" t="str">
        <f t="shared" si="30"/>
        <v>No</v>
      </c>
      <c r="F130" s="75">
        <f t="shared" si="35"/>
        <v>2</v>
      </c>
      <c r="G130" s="78">
        <f t="shared" si="36"/>
        <v>0</v>
      </c>
      <c r="H130" s="77">
        <f t="shared" si="44"/>
        <v>43845</v>
      </c>
      <c r="I130" s="77" t="str">
        <f t="shared" si="37"/>
        <v>No</v>
      </c>
      <c r="J130" s="75">
        <f t="shared" si="38"/>
        <v>1</v>
      </c>
      <c r="K130" s="78">
        <f t="shared" si="45"/>
        <v>0</v>
      </c>
      <c r="L130" s="12">
        <v>43590</v>
      </c>
      <c r="M130" s="57">
        <f t="shared" si="39"/>
        <v>25100000</v>
      </c>
      <c r="Q130" s="10">
        <f t="shared" ref="Q130:Q193" si="48">Q129</f>
        <v>0.13</v>
      </c>
      <c r="R130" s="10">
        <f t="shared" si="47"/>
        <v>0</v>
      </c>
      <c r="S130" s="60">
        <f t="shared" si="40"/>
        <v>0.13</v>
      </c>
      <c r="T130" s="57">
        <f t="shared" si="41"/>
        <v>9063.8888888888887</v>
      </c>
      <c r="U130" s="57">
        <f t="shared" si="32"/>
        <v>1109266.6700000002</v>
      </c>
      <c r="V130" s="67">
        <f t="shared" si="33"/>
        <v>0</v>
      </c>
      <c r="Y130" s="97">
        <f t="shared" si="46"/>
        <v>0.13</v>
      </c>
      <c r="Z130" s="57">
        <f t="shared" si="34"/>
        <v>9063.8888888888887</v>
      </c>
      <c r="AA130" s="57">
        <f t="shared" si="42"/>
        <v>1016958.3333333323</v>
      </c>
      <c r="AD130" s="11"/>
    </row>
    <row r="131" spans="1:30" hidden="1" outlineLevel="1" x14ac:dyDescent="0.35">
      <c r="A131" s="75" t="str">
        <f t="shared" si="27"/>
        <v>No</v>
      </c>
      <c r="B131" s="75">
        <f t="shared" si="43"/>
        <v>4</v>
      </c>
      <c r="C131" s="76">
        <f t="shared" si="28"/>
        <v>0</v>
      </c>
      <c r="D131" s="77">
        <f t="shared" si="29"/>
        <v>43661</v>
      </c>
      <c r="E131" s="77" t="str">
        <f t="shared" si="30"/>
        <v>No</v>
      </c>
      <c r="F131" s="75">
        <f t="shared" si="35"/>
        <v>2</v>
      </c>
      <c r="G131" s="78">
        <f t="shared" si="36"/>
        <v>0</v>
      </c>
      <c r="H131" s="77">
        <f t="shared" si="44"/>
        <v>43845</v>
      </c>
      <c r="I131" s="77" t="str">
        <f t="shared" si="37"/>
        <v>No</v>
      </c>
      <c r="J131" s="75">
        <f t="shared" si="38"/>
        <v>1</v>
      </c>
      <c r="K131" s="78">
        <f t="shared" si="45"/>
        <v>0</v>
      </c>
      <c r="L131" s="12">
        <v>43591</v>
      </c>
      <c r="M131" s="57">
        <f t="shared" si="39"/>
        <v>25100000</v>
      </c>
      <c r="Q131" s="10">
        <f t="shared" si="48"/>
        <v>0.13</v>
      </c>
      <c r="R131" s="10">
        <f t="shared" si="47"/>
        <v>0</v>
      </c>
      <c r="S131" s="60">
        <f t="shared" si="40"/>
        <v>0.13</v>
      </c>
      <c r="T131" s="57">
        <f t="shared" si="41"/>
        <v>9063.8888888888887</v>
      </c>
      <c r="U131" s="57">
        <f t="shared" si="32"/>
        <v>1118330.5588888892</v>
      </c>
      <c r="V131" s="67">
        <f t="shared" si="33"/>
        <v>0</v>
      </c>
      <c r="Y131" s="97">
        <f t="shared" si="46"/>
        <v>0.13</v>
      </c>
      <c r="Z131" s="57">
        <f t="shared" si="34"/>
        <v>9063.8888888888887</v>
      </c>
      <c r="AA131" s="57">
        <f t="shared" si="42"/>
        <v>1026022.2222222212</v>
      </c>
      <c r="AD131" s="11"/>
    </row>
    <row r="132" spans="1:30" hidden="1" outlineLevel="1" x14ac:dyDescent="0.35">
      <c r="A132" s="75" t="str">
        <f t="shared" si="27"/>
        <v>No</v>
      </c>
      <c r="B132" s="75">
        <f t="shared" si="43"/>
        <v>4</v>
      </c>
      <c r="C132" s="76">
        <f t="shared" si="28"/>
        <v>0</v>
      </c>
      <c r="D132" s="77">
        <f t="shared" si="29"/>
        <v>43661</v>
      </c>
      <c r="E132" s="77" t="str">
        <f t="shared" si="30"/>
        <v>No</v>
      </c>
      <c r="F132" s="75">
        <f t="shared" si="35"/>
        <v>2</v>
      </c>
      <c r="G132" s="78">
        <f t="shared" si="36"/>
        <v>0</v>
      </c>
      <c r="H132" s="77">
        <f t="shared" si="44"/>
        <v>43845</v>
      </c>
      <c r="I132" s="77" t="str">
        <f t="shared" si="37"/>
        <v>No</v>
      </c>
      <c r="J132" s="75">
        <f t="shared" si="38"/>
        <v>1</v>
      </c>
      <c r="K132" s="78">
        <f t="shared" si="45"/>
        <v>0</v>
      </c>
      <c r="L132" s="12">
        <v>43592</v>
      </c>
      <c r="M132" s="57">
        <f t="shared" si="39"/>
        <v>25100000</v>
      </c>
      <c r="Q132" s="10">
        <f t="shared" si="48"/>
        <v>0.13</v>
      </c>
      <c r="R132" s="10">
        <f t="shared" si="47"/>
        <v>0</v>
      </c>
      <c r="S132" s="60">
        <f t="shared" si="40"/>
        <v>0.13</v>
      </c>
      <c r="T132" s="57">
        <f t="shared" si="41"/>
        <v>9063.8888888888887</v>
      </c>
      <c r="U132" s="57">
        <f t="shared" si="32"/>
        <v>1127394.4477777781</v>
      </c>
      <c r="V132" s="67">
        <f t="shared" si="33"/>
        <v>0</v>
      </c>
      <c r="Y132" s="97">
        <f t="shared" si="46"/>
        <v>0.13</v>
      </c>
      <c r="Z132" s="57">
        <f t="shared" si="34"/>
        <v>9063.8888888888887</v>
      </c>
      <c r="AA132" s="57">
        <f t="shared" si="42"/>
        <v>1035086.1111111101</v>
      </c>
      <c r="AD132" s="11"/>
    </row>
    <row r="133" spans="1:30" hidden="1" outlineLevel="1" x14ac:dyDescent="0.35">
      <c r="A133" s="75" t="str">
        <f t="shared" si="27"/>
        <v>No</v>
      </c>
      <c r="B133" s="75">
        <f t="shared" si="43"/>
        <v>4</v>
      </c>
      <c r="C133" s="76">
        <f t="shared" si="28"/>
        <v>0</v>
      </c>
      <c r="D133" s="77">
        <f t="shared" si="29"/>
        <v>43661</v>
      </c>
      <c r="E133" s="77" t="str">
        <f t="shared" si="30"/>
        <v>No</v>
      </c>
      <c r="F133" s="75">
        <f t="shared" si="35"/>
        <v>2</v>
      </c>
      <c r="G133" s="78">
        <f t="shared" si="36"/>
        <v>0</v>
      </c>
      <c r="H133" s="77">
        <f t="shared" si="44"/>
        <v>43845</v>
      </c>
      <c r="I133" s="77" t="str">
        <f t="shared" si="37"/>
        <v>No</v>
      </c>
      <c r="J133" s="75">
        <f t="shared" si="38"/>
        <v>1</v>
      </c>
      <c r="K133" s="78">
        <f t="shared" si="45"/>
        <v>0</v>
      </c>
      <c r="L133" s="12">
        <v>43593</v>
      </c>
      <c r="M133" s="57">
        <f t="shared" si="39"/>
        <v>25100000</v>
      </c>
      <c r="Q133" s="10">
        <f t="shared" si="48"/>
        <v>0.13</v>
      </c>
      <c r="R133" s="10">
        <f t="shared" si="47"/>
        <v>0</v>
      </c>
      <c r="S133" s="60">
        <f t="shared" si="40"/>
        <v>0.13</v>
      </c>
      <c r="T133" s="57">
        <f t="shared" si="41"/>
        <v>9063.8888888888887</v>
      </c>
      <c r="U133" s="57">
        <f t="shared" si="32"/>
        <v>1136458.3366666671</v>
      </c>
      <c r="V133" s="67">
        <f t="shared" si="33"/>
        <v>0</v>
      </c>
      <c r="Y133" s="97">
        <f t="shared" si="46"/>
        <v>0.13</v>
      </c>
      <c r="Z133" s="57">
        <f t="shared" si="34"/>
        <v>9063.8888888888887</v>
      </c>
      <c r="AA133" s="57">
        <f t="shared" si="42"/>
        <v>1044149.999999999</v>
      </c>
      <c r="AD133" s="11"/>
    </row>
    <row r="134" spans="1:30" hidden="1" outlineLevel="1" x14ac:dyDescent="0.35">
      <c r="A134" s="75" t="str">
        <f t="shared" si="27"/>
        <v>No</v>
      </c>
      <c r="B134" s="75">
        <f t="shared" si="43"/>
        <v>4</v>
      </c>
      <c r="C134" s="76">
        <f t="shared" si="28"/>
        <v>0</v>
      </c>
      <c r="D134" s="77">
        <f t="shared" si="29"/>
        <v>43661</v>
      </c>
      <c r="E134" s="77" t="str">
        <f t="shared" si="30"/>
        <v>No</v>
      </c>
      <c r="F134" s="75">
        <f t="shared" si="35"/>
        <v>2</v>
      </c>
      <c r="G134" s="78">
        <f t="shared" si="36"/>
        <v>0</v>
      </c>
      <c r="H134" s="77">
        <f t="shared" si="44"/>
        <v>43845</v>
      </c>
      <c r="I134" s="77" t="str">
        <f t="shared" si="37"/>
        <v>No</v>
      </c>
      <c r="J134" s="75">
        <f t="shared" si="38"/>
        <v>1</v>
      </c>
      <c r="K134" s="78">
        <f t="shared" si="45"/>
        <v>0</v>
      </c>
      <c r="L134" s="12">
        <v>43594</v>
      </c>
      <c r="M134" s="57">
        <f t="shared" si="39"/>
        <v>25100000</v>
      </c>
      <c r="Q134" s="10">
        <f t="shared" si="48"/>
        <v>0.13</v>
      </c>
      <c r="R134" s="10">
        <f t="shared" si="47"/>
        <v>0</v>
      </c>
      <c r="S134" s="60">
        <f t="shared" si="40"/>
        <v>0.13</v>
      </c>
      <c r="T134" s="57">
        <f t="shared" si="41"/>
        <v>9063.8888888888887</v>
      </c>
      <c r="U134" s="57">
        <f t="shared" si="32"/>
        <v>1145522.2255555561</v>
      </c>
      <c r="V134" s="67">
        <f t="shared" si="33"/>
        <v>0</v>
      </c>
      <c r="Y134" s="97">
        <f t="shared" si="46"/>
        <v>0.13</v>
      </c>
      <c r="Z134" s="57">
        <f t="shared" si="34"/>
        <v>9063.8888888888887</v>
      </c>
      <c r="AA134" s="57">
        <f t="shared" si="42"/>
        <v>1053213.8888888878</v>
      </c>
      <c r="AD134" s="11"/>
    </row>
    <row r="135" spans="1:30" hidden="1" outlineLevel="1" x14ac:dyDescent="0.35">
      <c r="A135" s="75" t="str">
        <f t="shared" si="27"/>
        <v>No</v>
      </c>
      <c r="B135" s="75">
        <f t="shared" si="43"/>
        <v>4</v>
      </c>
      <c r="C135" s="76">
        <f t="shared" si="28"/>
        <v>0</v>
      </c>
      <c r="D135" s="77">
        <f t="shared" si="29"/>
        <v>43661</v>
      </c>
      <c r="E135" s="77" t="str">
        <f t="shared" si="30"/>
        <v>No</v>
      </c>
      <c r="F135" s="75">
        <f t="shared" si="35"/>
        <v>2</v>
      </c>
      <c r="G135" s="78">
        <f t="shared" si="36"/>
        <v>0</v>
      </c>
      <c r="H135" s="77">
        <f t="shared" si="44"/>
        <v>43845</v>
      </c>
      <c r="I135" s="77" t="str">
        <f t="shared" si="37"/>
        <v>No</v>
      </c>
      <c r="J135" s="75">
        <f t="shared" si="38"/>
        <v>1</v>
      </c>
      <c r="K135" s="78">
        <f t="shared" si="45"/>
        <v>0</v>
      </c>
      <c r="L135" s="12">
        <v>43595</v>
      </c>
      <c r="M135" s="57">
        <f t="shared" si="39"/>
        <v>25100000</v>
      </c>
      <c r="Q135" s="10">
        <f t="shared" si="48"/>
        <v>0.13</v>
      </c>
      <c r="R135" s="10">
        <f t="shared" si="47"/>
        <v>0</v>
      </c>
      <c r="S135" s="60">
        <f t="shared" si="40"/>
        <v>0.13</v>
      </c>
      <c r="T135" s="57">
        <f t="shared" si="41"/>
        <v>9063.8888888888887</v>
      </c>
      <c r="U135" s="57">
        <f t="shared" si="32"/>
        <v>1154586.1144444451</v>
      </c>
      <c r="V135" s="67">
        <f t="shared" si="33"/>
        <v>0</v>
      </c>
      <c r="Y135" s="97">
        <f t="shared" si="46"/>
        <v>0.13</v>
      </c>
      <c r="Z135" s="57">
        <f t="shared" si="34"/>
        <v>9063.8888888888887</v>
      </c>
      <c r="AA135" s="57">
        <f t="shared" si="42"/>
        <v>1062277.7777777768</v>
      </c>
      <c r="AD135" s="11"/>
    </row>
    <row r="136" spans="1:30" hidden="1" outlineLevel="1" x14ac:dyDescent="0.35">
      <c r="A136" s="75" t="str">
        <f t="shared" si="27"/>
        <v>No</v>
      </c>
      <c r="B136" s="75">
        <f t="shared" si="43"/>
        <v>4</v>
      </c>
      <c r="C136" s="76">
        <f t="shared" si="28"/>
        <v>0</v>
      </c>
      <c r="D136" s="77">
        <f t="shared" si="29"/>
        <v>43661</v>
      </c>
      <c r="E136" s="77" t="str">
        <f t="shared" ref="E136:E148" si="49">IF(D136=D135,"No","Yes")</f>
        <v>No</v>
      </c>
      <c r="F136" s="75">
        <f t="shared" si="35"/>
        <v>2</v>
      </c>
      <c r="G136" s="78">
        <f t="shared" si="36"/>
        <v>0</v>
      </c>
      <c r="H136" s="77">
        <f t="shared" si="44"/>
        <v>43845</v>
      </c>
      <c r="I136" s="77" t="str">
        <f t="shared" si="37"/>
        <v>No</v>
      </c>
      <c r="J136" s="75">
        <f t="shared" si="38"/>
        <v>1</v>
      </c>
      <c r="K136" s="78">
        <f t="shared" si="45"/>
        <v>0</v>
      </c>
      <c r="L136" s="12">
        <v>43596</v>
      </c>
      <c r="M136" s="57">
        <f t="shared" si="39"/>
        <v>25100000</v>
      </c>
      <c r="Q136" s="10">
        <f t="shared" si="48"/>
        <v>0.13</v>
      </c>
      <c r="R136" s="10">
        <f t="shared" si="47"/>
        <v>0</v>
      </c>
      <c r="S136" s="60">
        <f t="shared" si="40"/>
        <v>0.13</v>
      </c>
      <c r="T136" s="57">
        <f t="shared" si="41"/>
        <v>9063.8888888888887</v>
      </c>
      <c r="U136" s="57">
        <f t="shared" si="32"/>
        <v>1163650.0033333341</v>
      </c>
      <c r="V136" s="67">
        <f t="shared" si="33"/>
        <v>0</v>
      </c>
      <c r="Y136" s="97">
        <f t="shared" si="46"/>
        <v>0.13</v>
      </c>
      <c r="Z136" s="57">
        <f t="shared" si="34"/>
        <v>9063.8888888888887</v>
      </c>
      <c r="AA136" s="57">
        <f t="shared" si="42"/>
        <v>1071341.6666666658</v>
      </c>
      <c r="AD136" s="11"/>
    </row>
    <row r="137" spans="1:30" hidden="1" outlineLevel="1" x14ac:dyDescent="0.35">
      <c r="A137" s="75" t="str">
        <f t="shared" si="27"/>
        <v>No</v>
      </c>
      <c r="B137" s="75">
        <f t="shared" si="43"/>
        <v>4</v>
      </c>
      <c r="C137" s="76">
        <f t="shared" si="28"/>
        <v>0</v>
      </c>
      <c r="D137" s="77">
        <f t="shared" si="29"/>
        <v>43661</v>
      </c>
      <c r="E137" s="77" t="str">
        <f t="shared" si="49"/>
        <v>No</v>
      </c>
      <c r="F137" s="75">
        <f t="shared" si="35"/>
        <v>2</v>
      </c>
      <c r="G137" s="78">
        <f t="shared" si="36"/>
        <v>0</v>
      </c>
      <c r="H137" s="77">
        <f t="shared" si="44"/>
        <v>43845</v>
      </c>
      <c r="I137" s="77" t="str">
        <f t="shared" si="37"/>
        <v>No</v>
      </c>
      <c r="J137" s="75">
        <f t="shared" si="38"/>
        <v>1</v>
      </c>
      <c r="K137" s="78">
        <f t="shared" si="45"/>
        <v>0</v>
      </c>
      <c r="L137" s="12">
        <v>43597</v>
      </c>
      <c r="M137" s="57">
        <f t="shared" si="39"/>
        <v>25100000</v>
      </c>
      <c r="Q137" s="10">
        <f t="shared" si="48"/>
        <v>0.13</v>
      </c>
      <c r="R137" s="10">
        <f t="shared" si="47"/>
        <v>0</v>
      </c>
      <c r="S137" s="60">
        <f t="shared" si="40"/>
        <v>0.13</v>
      </c>
      <c r="T137" s="57">
        <f t="shared" si="41"/>
        <v>9063.8888888888887</v>
      </c>
      <c r="U137" s="57">
        <f t="shared" si="32"/>
        <v>1172713.8922222231</v>
      </c>
      <c r="V137" s="67">
        <f t="shared" si="33"/>
        <v>0</v>
      </c>
      <c r="Y137" s="97">
        <f t="shared" si="46"/>
        <v>0.13</v>
      </c>
      <c r="Z137" s="57">
        <f t="shared" si="34"/>
        <v>9063.8888888888887</v>
      </c>
      <c r="AA137" s="57">
        <f t="shared" si="42"/>
        <v>1080405.5555555548</v>
      </c>
      <c r="AD137" s="11"/>
    </row>
    <row r="138" spans="1:30" hidden="1" outlineLevel="1" x14ac:dyDescent="0.35">
      <c r="A138" s="75" t="str">
        <f t="shared" si="27"/>
        <v>No</v>
      </c>
      <c r="B138" s="75">
        <f t="shared" si="43"/>
        <v>4</v>
      </c>
      <c r="C138" s="76">
        <f t="shared" si="28"/>
        <v>0</v>
      </c>
      <c r="D138" s="77">
        <f t="shared" si="29"/>
        <v>43661</v>
      </c>
      <c r="E138" s="77" t="str">
        <f t="shared" si="49"/>
        <v>No</v>
      </c>
      <c r="F138" s="75">
        <f t="shared" si="35"/>
        <v>2</v>
      </c>
      <c r="G138" s="78">
        <f t="shared" si="36"/>
        <v>0</v>
      </c>
      <c r="H138" s="77">
        <f t="shared" si="44"/>
        <v>43845</v>
      </c>
      <c r="I138" s="77" t="str">
        <f t="shared" si="37"/>
        <v>No</v>
      </c>
      <c r="J138" s="75">
        <f t="shared" si="38"/>
        <v>1</v>
      </c>
      <c r="K138" s="78">
        <f t="shared" si="45"/>
        <v>0</v>
      </c>
      <c r="L138" s="12">
        <v>43598</v>
      </c>
      <c r="M138" s="57">
        <f t="shared" si="39"/>
        <v>25100000</v>
      </c>
      <c r="Q138" s="10">
        <f t="shared" si="48"/>
        <v>0.13</v>
      </c>
      <c r="R138" s="10">
        <f t="shared" si="47"/>
        <v>0</v>
      </c>
      <c r="S138" s="60">
        <f t="shared" si="40"/>
        <v>0.13</v>
      </c>
      <c r="T138" s="57">
        <f t="shared" si="41"/>
        <v>9063.8888888888887</v>
      </c>
      <c r="U138" s="57">
        <f t="shared" si="32"/>
        <v>1181777.7811111121</v>
      </c>
      <c r="V138" s="67">
        <f t="shared" si="33"/>
        <v>0</v>
      </c>
      <c r="Y138" s="97">
        <f t="shared" si="46"/>
        <v>0.13</v>
      </c>
      <c r="Z138" s="57">
        <f t="shared" si="34"/>
        <v>9063.8888888888887</v>
      </c>
      <c r="AA138" s="57">
        <f t="shared" si="42"/>
        <v>1089469.4444444438</v>
      </c>
      <c r="AD138" s="11"/>
    </row>
    <row r="139" spans="1:30" hidden="1" outlineLevel="1" x14ac:dyDescent="0.35">
      <c r="A139" s="75" t="str">
        <f t="shared" si="27"/>
        <v>No</v>
      </c>
      <c r="B139" s="75">
        <f t="shared" si="43"/>
        <v>4</v>
      </c>
      <c r="C139" s="76">
        <f t="shared" si="28"/>
        <v>0</v>
      </c>
      <c r="D139" s="77">
        <f t="shared" si="29"/>
        <v>43661</v>
      </c>
      <c r="E139" s="77" t="str">
        <f t="shared" si="49"/>
        <v>No</v>
      </c>
      <c r="F139" s="75">
        <f t="shared" si="35"/>
        <v>2</v>
      </c>
      <c r="G139" s="78">
        <f t="shared" si="36"/>
        <v>0</v>
      </c>
      <c r="H139" s="77">
        <f t="shared" si="44"/>
        <v>43845</v>
      </c>
      <c r="I139" s="77" t="str">
        <f t="shared" si="37"/>
        <v>No</v>
      </c>
      <c r="J139" s="75">
        <f t="shared" si="38"/>
        <v>1</v>
      </c>
      <c r="K139" s="78">
        <f t="shared" si="45"/>
        <v>0</v>
      </c>
      <c r="L139" s="12">
        <v>43599</v>
      </c>
      <c r="M139" s="57">
        <f t="shared" si="39"/>
        <v>25100000</v>
      </c>
      <c r="Q139" s="10">
        <f t="shared" si="48"/>
        <v>0.13</v>
      </c>
      <c r="R139" s="10">
        <f t="shared" si="47"/>
        <v>0</v>
      </c>
      <c r="S139" s="60">
        <f t="shared" si="40"/>
        <v>0.13</v>
      </c>
      <c r="T139" s="57">
        <f t="shared" si="41"/>
        <v>9063.8888888888887</v>
      </c>
      <c r="U139" s="57">
        <f t="shared" si="32"/>
        <v>1190841.6700000011</v>
      </c>
      <c r="V139" s="67">
        <f t="shared" si="33"/>
        <v>0</v>
      </c>
      <c r="Y139" s="97">
        <f t="shared" si="46"/>
        <v>0.13</v>
      </c>
      <c r="Z139" s="57">
        <f t="shared" si="34"/>
        <v>9063.8888888888887</v>
      </c>
      <c r="AA139" s="57">
        <f t="shared" si="42"/>
        <v>1098533.3333333328</v>
      </c>
      <c r="AD139" s="11"/>
    </row>
    <row r="140" spans="1:30" hidden="1" outlineLevel="1" x14ac:dyDescent="0.35">
      <c r="A140" s="75" t="str">
        <f t="shared" si="27"/>
        <v>Yes</v>
      </c>
      <c r="B140" s="75">
        <f t="shared" si="43"/>
        <v>5</v>
      </c>
      <c r="C140" s="76">
        <f t="shared" si="28"/>
        <v>271916.66666666651</v>
      </c>
      <c r="D140" s="77">
        <f t="shared" si="29"/>
        <v>43661</v>
      </c>
      <c r="E140" s="77" t="str">
        <f t="shared" si="49"/>
        <v>No</v>
      </c>
      <c r="F140" s="75">
        <f t="shared" si="35"/>
        <v>2</v>
      </c>
      <c r="G140" s="78">
        <f t="shared" si="36"/>
        <v>0</v>
      </c>
      <c r="H140" s="77">
        <f t="shared" si="44"/>
        <v>43845</v>
      </c>
      <c r="I140" s="77" t="str">
        <f t="shared" si="37"/>
        <v>No</v>
      </c>
      <c r="J140" s="75">
        <f t="shared" si="38"/>
        <v>1</v>
      </c>
      <c r="K140" s="78">
        <f t="shared" si="45"/>
        <v>0</v>
      </c>
      <c r="L140" s="12">
        <v>43600</v>
      </c>
      <c r="M140" s="57">
        <f t="shared" si="39"/>
        <v>25100000</v>
      </c>
      <c r="Q140" s="10">
        <f t="shared" si="48"/>
        <v>0.13</v>
      </c>
      <c r="R140" s="10">
        <f t="shared" si="47"/>
        <v>0</v>
      </c>
      <c r="S140" s="60">
        <f t="shared" si="40"/>
        <v>0.13</v>
      </c>
      <c r="T140" s="57">
        <f t="shared" si="41"/>
        <v>9063.8888888888887</v>
      </c>
      <c r="U140" s="57">
        <f t="shared" si="32"/>
        <v>1199905.5588888901</v>
      </c>
      <c r="V140" s="67">
        <f t="shared" si="33"/>
        <v>271916.66666666651</v>
      </c>
      <c r="Y140" s="97">
        <f t="shared" si="46"/>
        <v>0.13</v>
      </c>
      <c r="Z140" s="57">
        <f t="shared" si="34"/>
        <v>9063.8888888888887</v>
      </c>
      <c r="AA140" s="57">
        <f t="shared" si="42"/>
        <v>1107597.2222222218</v>
      </c>
      <c r="AD140" s="11"/>
    </row>
    <row r="141" spans="1:30" hidden="1" outlineLevel="1" x14ac:dyDescent="0.35">
      <c r="A141" s="75" t="str">
        <f t="shared" si="27"/>
        <v>No</v>
      </c>
      <c r="B141" s="75">
        <f t="shared" si="43"/>
        <v>5</v>
      </c>
      <c r="C141" s="76">
        <f t="shared" si="28"/>
        <v>0</v>
      </c>
      <c r="D141" s="77">
        <f t="shared" si="29"/>
        <v>43661</v>
      </c>
      <c r="E141" s="77" t="str">
        <f t="shared" si="49"/>
        <v>No</v>
      </c>
      <c r="F141" s="75">
        <f t="shared" si="35"/>
        <v>2</v>
      </c>
      <c r="G141" s="78">
        <f t="shared" si="36"/>
        <v>0</v>
      </c>
      <c r="H141" s="77">
        <f t="shared" si="44"/>
        <v>43845</v>
      </c>
      <c r="I141" s="77" t="str">
        <f t="shared" si="37"/>
        <v>No</v>
      </c>
      <c r="J141" s="75">
        <f t="shared" si="38"/>
        <v>1</v>
      </c>
      <c r="K141" s="78">
        <f t="shared" si="45"/>
        <v>0</v>
      </c>
      <c r="L141" s="12">
        <v>43601</v>
      </c>
      <c r="M141" s="57">
        <f t="shared" si="39"/>
        <v>25100000</v>
      </c>
      <c r="Q141" s="10">
        <f t="shared" si="48"/>
        <v>0.13</v>
      </c>
      <c r="R141" s="10">
        <f t="shared" si="47"/>
        <v>0</v>
      </c>
      <c r="S141" s="60">
        <f t="shared" si="40"/>
        <v>0.13</v>
      </c>
      <c r="T141" s="57">
        <f t="shared" si="41"/>
        <v>9063.8888888888887</v>
      </c>
      <c r="U141" s="57">
        <f t="shared" si="32"/>
        <v>1208969.4477777791</v>
      </c>
      <c r="V141" s="67">
        <f t="shared" si="33"/>
        <v>0</v>
      </c>
      <c r="Y141" s="97">
        <f t="shared" si="46"/>
        <v>0.13</v>
      </c>
      <c r="Z141" s="57">
        <f t="shared" si="34"/>
        <v>9063.8888888888887</v>
      </c>
      <c r="AA141" s="57">
        <f t="shared" si="42"/>
        <v>1116661.1111111108</v>
      </c>
      <c r="AD141" s="11"/>
    </row>
    <row r="142" spans="1:30" hidden="1" outlineLevel="1" x14ac:dyDescent="0.35">
      <c r="A142" s="75" t="str">
        <f t="shared" si="27"/>
        <v>No</v>
      </c>
      <c r="B142" s="75">
        <f t="shared" si="43"/>
        <v>5</v>
      </c>
      <c r="C142" s="76">
        <f t="shared" si="28"/>
        <v>0</v>
      </c>
      <c r="D142" s="77">
        <f t="shared" si="29"/>
        <v>43661</v>
      </c>
      <c r="E142" s="77" t="str">
        <f t="shared" si="49"/>
        <v>No</v>
      </c>
      <c r="F142" s="75">
        <f t="shared" si="35"/>
        <v>2</v>
      </c>
      <c r="G142" s="78">
        <f t="shared" si="36"/>
        <v>0</v>
      </c>
      <c r="H142" s="77">
        <f t="shared" si="44"/>
        <v>43845</v>
      </c>
      <c r="I142" s="77" t="str">
        <f t="shared" si="37"/>
        <v>No</v>
      </c>
      <c r="J142" s="75">
        <f t="shared" si="38"/>
        <v>1</v>
      </c>
      <c r="K142" s="78">
        <f t="shared" si="45"/>
        <v>0</v>
      </c>
      <c r="L142" s="12">
        <v>43602</v>
      </c>
      <c r="M142" s="57">
        <f t="shared" si="39"/>
        <v>25100000</v>
      </c>
      <c r="Q142" s="10">
        <f t="shared" si="48"/>
        <v>0.13</v>
      </c>
      <c r="R142" s="10">
        <f t="shared" si="47"/>
        <v>0</v>
      </c>
      <c r="S142" s="60">
        <f t="shared" si="40"/>
        <v>0.13</v>
      </c>
      <c r="T142" s="57">
        <f t="shared" si="41"/>
        <v>9063.8888888888887</v>
      </c>
      <c r="U142" s="57">
        <f t="shared" si="32"/>
        <v>1218033.3366666681</v>
      </c>
      <c r="V142" s="67">
        <f t="shared" si="33"/>
        <v>0</v>
      </c>
      <c r="Y142" s="97">
        <f t="shared" si="46"/>
        <v>0.13</v>
      </c>
      <c r="Z142" s="57">
        <f t="shared" si="34"/>
        <v>9063.8888888888887</v>
      </c>
      <c r="AA142" s="57">
        <f t="shared" si="42"/>
        <v>1125724.9999999998</v>
      </c>
      <c r="AD142" s="11"/>
    </row>
    <row r="143" spans="1:30" hidden="1" outlineLevel="1" x14ac:dyDescent="0.35">
      <c r="A143" s="75" t="str">
        <f t="shared" si="27"/>
        <v>No</v>
      </c>
      <c r="B143" s="75">
        <f t="shared" si="43"/>
        <v>5</v>
      </c>
      <c r="C143" s="76">
        <f t="shared" si="28"/>
        <v>0</v>
      </c>
      <c r="D143" s="77">
        <f t="shared" si="29"/>
        <v>43661</v>
      </c>
      <c r="E143" s="77" t="str">
        <f t="shared" si="49"/>
        <v>No</v>
      </c>
      <c r="F143" s="75">
        <f t="shared" si="35"/>
        <v>2</v>
      </c>
      <c r="G143" s="78">
        <f t="shared" si="36"/>
        <v>0</v>
      </c>
      <c r="H143" s="77">
        <f t="shared" si="44"/>
        <v>43845</v>
      </c>
      <c r="I143" s="77" t="str">
        <f t="shared" si="37"/>
        <v>No</v>
      </c>
      <c r="J143" s="75">
        <f t="shared" si="38"/>
        <v>1</v>
      </c>
      <c r="K143" s="78">
        <f t="shared" si="45"/>
        <v>0</v>
      </c>
      <c r="L143" s="12">
        <v>43603</v>
      </c>
      <c r="M143" s="57">
        <f t="shared" si="39"/>
        <v>25100000</v>
      </c>
      <c r="Q143" s="10">
        <f t="shared" si="48"/>
        <v>0.13</v>
      </c>
      <c r="R143" s="10">
        <f t="shared" si="47"/>
        <v>0</v>
      </c>
      <c r="S143" s="60">
        <f t="shared" si="40"/>
        <v>0.13</v>
      </c>
      <c r="T143" s="57">
        <f t="shared" si="41"/>
        <v>9063.8888888888887</v>
      </c>
      <c r="U143" s="57">
        <f t="shared" si="32"/>
        <v>1227097.2255555571</v>
      </c>
      <c r="V143" s="67">
        <f t="shared" si="33"/>
        <v>0</v>
      </c>
      <c r="Y143" s="97">
        <f t="shared" si="46"/>
        <v>0.13</v>
      </c>
      <c r="Z143" s="57">
        <f t="shared" si="34"/>
        <v>9063.8888888888887</v>
      </c>
      <c r="AA143" s="57">
        <f t="shared" si="42"/>
        <v>1134788.8888888888</v>
      </c>
      <c r="AD143" s="11"/>
    </row>
    <row r="144" spans="1:30" hidden="1" outlineLevel="1" x14ac:dyDescent="0.35">
      <c r="A144" s="75" t="str">
        <f t="shared" si="27"/>
        <v>No</v>
      </c>
      <c r="B144" s="75">
        <f t="shared" si="43"/>
        <v>5</v>
      </c>
      <c r="C144" s="76">
        <f t="shared" si="28"/>
        <v>0</v>
      </c>
      <c r="D144" s="77">
        <f t="shared" si="29"/>
        <v>43661</v>
      </c>
      <c r="E144" s="77" t="str">
        <f t="shared" si="49"/>
        <v>No</v>
      </c>
      <c r="F144" s="75">
        <f t="shared" si="35"/>
        <v>2</v>
      </c>
      <c r="G144" s="78">
        <f t="shared" si="36"/>
        <v>0</v>
      </c>
      <c r="H144" s="77">
        <f t="shared" si="44"/>
        <v>43845</v>
      </c>
      <c r="I144" s="77" t="str">
        <f t="shared" si="37"/>
        <v>No</v>
      </c>
      <c r="J144" s="75">
        <f t="shared" si="38"/>
        <v>1</v>
      </c>
      <c r="K144" s="78">
        <f t="shared" si="45"/>
        <v>0</v>
      </c>
      <c r="L144" s="12">
        <v>43604</v>
      </c>
      <c r="M144" s="57">
        <f t="shared" si="39"/>
        <v>25100000</v>
      </c>
      <c r="Q144" s="10">
        <f t="shared" si="48"/>
        <v>0.13</v>
      </c>
      <c r="R144" s="10">
        <f t="shared" si="47"/>
        <v>0</v>
      </c>
      <c r="S144" s="60">
        <f t="shared" si="40"/>
        <v>0.13</v>
      </c>
      <c r="T144" s="57">
        <f t="shared" si="41"/>
        <v>9063.8888888888887</v>
      </c>
      <c r="U144" s="57">
        <f t="shared" si="32"/>
        <v>1236161.1144444461</v>
      </c>
      <c r="V144" s="67">
        <f t="shared" si="33"/>
        <v>0</v>
      </c>
      <c r="Y144" s="97">
        <f t="shared" si="46"/>
        <v>0.13</v>
      </c>
      <c r="Z144" s="57">
        <f t="shared" si="34"/>
        <v>9063.8888888888887</v>
      </c>
      <c r="AA144" s="57">
        <f t="shared" si="42"/>
        <v>1143852.7777777778</v>
      </c>
      <c r="AD144" s="11"/>
    </row>
    <row r="145" spans="1:30" hidden="1" outlineLevel="1" x14ac:dyDescent="0.35">
      <c r="A145" s="75" t="str">
        <f t="shared" si="27"/>
        <v>No</v>
      </c>
      <c r="B145" s="75">
        <f t="shared" si="43"/>
        <v>5</v>
      </c>
      <c r="C145" s="76">
        <f t="shared" si="28"/>
        <v>0</v>
      </c>
      <c r="D145" s="77">
        <f t="shared" si="29"/>
        <v>43661</v>
      </c>
      <c r="E145" s="77" t="str">
        <f t="shared" si="49"/>
        <v>No</v>
      </c>
      <c r="F145" s="75">
        <f t="shared" si="35"/>
        <v>2</v>
      </c>
      <c r="G145" s="78">
        <f t="shared" si="36"/>
        <v>0</v>
      </c>
      <c r="H145" s="77">
        <f t="shared" si="44"/>
        <v>43845</v>
      </c>
      <c r="I145" s="77" t="str">
        <f t="shared" si="37"/>
        <v>No</v>
      </c>
      <c r="J145" s="75">
        <f t="shared" si="38"/>
        <v>1</v>
      </c>
      <c r="K145" s="78">
        <f t="shared" si="45"/>
        <v>0</v>
      </c>
      <c r="L145" s="12">
        <v>43605</v>
      </c>
      <c r="M145" s="57">
        <f t="shared" si="39"/>
        <v>25100000</v>
      </c>
      <c r="Q145" s="10">
        <f t="shared" si="48"/>
        <v>0.13</v>
      </c>
      <c r="R145" s="10">
        <f t="shared" si="47"/>
        <v>0</v>
      </c>
      <c r="S145" s="60">
        <f t="shared" si="40"/>
        <v>0.13</v>
      </c>
      <c r="T145" s="57">
        <f t="shared" si="41"/>
        <v>9063.8888888888887</v>
      </c>
      <c r="U145" s="57">
        <f t="shared" si="32"/>
        <v>1245225.003333335</v>
      </c>
      <c r="V145" s="67">
        <f t="shared" si="33"/>
        <v>0</v>
      </c>
      <c r="Y145" s="97">
        <f t="shared" si="46"/>
        <v>0.13</v>
      </c>
      <c r="Z145" s="57">
        <f t="shared" si="34"/>
        <v>9063.8888888888887</v>
      </c>
      <c r="AA145" s="57">
        <f t="shared" si="42"/>
        <v>1152916.6666666667</v>
      </c>
      <c r="AD145" s="11"/>
    </row>
    <row r="146" spans="1:30" hidden="1" outlineLevel="1" x14ac:dyDescent="0.35">
      <c r="A146" s="75" t="str">
        <f t="shared" si="27"/>
        <v>No</v>
      </c>
      <c r="B146" s="75">
        <f t="shared" si="43"/>
        <v>5</v>
      </c>
      <c r="C146" s="76">
        <f t="shared" si="28"/>
        <v>0</v>
      </c>
      <c r="D146" s="77">
        <f t="shared" si="29"/>
        <v>43661</v>
      </c>
      <c r="E146" s="77" t="str">
        <f t="shared" si="49"/>
        <v>No</v>
      </c>
      <c r="F146" s="75">
        <f t="shared" si="35"/>
        <v>2</v>
      </c>
      <c r="G146" s="78">
        <f t="shared" si="36"/>
        <v>0</v>
      </c>
      <c r="H146" s="77">
        <f t="shared" si="44"/>
        <v>43845</v>
      </c>
      <c r="I146" s="77" t="str">
        <f t="shared" si="37"/>
        <v>No</v>
      </c>
      <c r="J146" s="75">
        <f t="shared" si="38"/>
        <v>1</v>
      </c>
      <c r="K146" s="78">
        <f t="shared" si="45"/>
        <v>0</v>
      </c>
      <c r="L146" s="12">
        <v>43606</v>
      </c>
      <c r="M146" s="57">
        <f t="shared" si="39"/>
        <v>25100000</v>
      </c>
      <c r="Q146" s="10">
        <f t="shared" si="48"/>
        <v>0.13</v>
      </c>
      <c r="R146" s="10">
        <f t="shared" si="47"/>
        <v>0</v>
      </c>
      <c r="S146" s="60">
        <f t="shared" si="40"/>
        <v>0.13</v>
      </c>
      <c r="T146" s="57">
        <f t="shared" si="41"/>
        <v>9063.8888888888887</v>
      </c>
      <c r="U146" s="57">
        <f t="shared" si="32"/>
        <v>1254288.892222224</v>
      </c>
      <c r="V146" s="67">
        <f t="shared" si="33"/>
        <v>0</v>
      </c>
      <c r="Y146" s="97">
        <f t="shared" si="46"/>
        <v>0.13</v>
      </c>
      <c r="Z146" s="57">
        <f t="shared" si="34"/>
        <v>9063.8888888888887</v>
      </c>
      <c r="AA146" s="57">
        <f t="shared" si="42"/>
        <v>1161980.5555555557</v>
      </c>
      <c r="AD146" s="11"/>
    </row>
    <row r="147" spans="1:30" hidden="1" outlineLevel="1" x14ac:dyDescent="0.35">
      <c r="A147" s="75" t="str">
        <f t="shared" si="27"/>
        <v>No</v>
      </c>
      <c r="B147" s="75">
        <f t="shared" si="43"/>
        <v>5</v>
      </c>
      <c r="C147" s="76">
        <f t="shared" si="28"/>
        <v>0</v>
      </c>
      <c r="D147" s="77">
        <f t="shared" si="29"/>
        <v>43661</v>
      </c>
      <c r="E147" s="77" t="str">
        <f t="shared" si="49"/>
        <v>No</v>
      </c>
      <c r="F147" s="75">
        <f t="shared" si="35"/>
        <v>2</v>
      </c>
      <c r="G147" s="78">
        <f t="shared" si="36"/>
        <v>0</v>
      </c>
      <c r="H147" s="77">
        <f t="shared" si="44"/>
        <v>43845</v>
      </c>
      <c r="I147" s="77" t="str">
        <f t="shared" si="37"/>
        <v>No</v>
      </c>
      <c r="J147" s="75">
        <f t="shared" si="38"/>
        <v>1</v>
      </c>
      <c r="K147" s="78">
        <f t="shared" si="45"/>
        <v>0</v>
      </c>
      <c r="L147" s="12">
        <v>43607</v>
      </c>
      <c r="M147" s="57">
        <f t="shared" si="39"/>
        <v>25100000</v>
      </c>
      <c r="Q147" s="10">
        <f t="shared" si="48"/>
        <v>0.13</v>
      </c>
      <c r="R147" s="10">
        <f t="shared" si="47"/>
        <v>0</v>
      </c>
      <c r="S147" s="60">
        <f t="shared" si="40"/>
        <v>0.13</v>
      </c>
      <c r="T147" s="57">
        <f t="shared" si="41"/>
        <v>9063.8888888888887</v>
      </c>
      <c r="U147" s="57">
        <f t="shared" si="32"/>
        <v>1263352.781111113</v>
      </c>
      <c r="V147" s="67">
        <f t="shared" si="33"/>
        <v>0</v>
      </c>
      <c r="Y147" s="97">
        <f t="shared" si="46"/>
        <v>0.13</v>
      </c>
      <c r="Z147" s="57">
        <f t="shared" si="34"/>
        <v>9063.8888888888887</v>
      </c>
      <c r="AA147" s="57">
        <f t="shared" si="42"/>
        <v>1171044.4444444447</v>
      </c>
      <c r="AD147" s="11"/>
    </row>
    <row r="148" spans="1:30" hidden="1" outlineLevel="1" x14ac:dyDescent="0.35">
      <c r="A148" s="75" t="str">
        <f t="shared" ref="A148:A211" si="50">IF(DAY(L148)=DAY(nFirst),"Yes","No")</f>
        <v>No</v>
      </c>
      <c r="B148" s="75">
        <f t="shared" si="43"/>
        <v>5</v>
      </c>
      <c r="C148" s="76">
        <f t="shared" ref="C148:C211" si="51">IF(A148="Yes",SUMIFS($T$20:$T$435,$B$20:$B$435,B148-1),0)</f>
        <v>0</v>
      </c>
      <c r="D148" s="77">
        <f t="shared" ref="D148:D211" si="52">IF(AND(L148&gt;L147,L148&lt;D147),D147,EDATE(L148,3))</f>
        <v>43661</v>
      </c>
      <c r="E148" s="77" t="str">
        <f t="shared" si="49"/>
        <v>No</v>
      </c>
      <c r="F148" s="75">
        <f t="shared" si="35"/>
        <v>2</v>
      </c>
      <c r="G148" s="78">
        <f t="shared" si="36"/>
        <v>0</v>
      </c>
      <c r="H148" s="77">
        <f t="shared" si="44"/>
        <v>43845</v>
      </c>
      <c r="I148" s="77" t="str">
        <f t="shared" si="37"/>
        <v>No</v>
      </c>
      <c r="J148" s="75">
        <f t="shared" si="38"/>
        <v>1</v>
      </c>
      <c r="K148" s="78">
        <f t="shared" si="45"/>
        <v>0</v>
      </c>
      <c r="L148" s="12">
        <v>43608</v>
      </c>
      <c r="M148" s="57">
        <f t="shared" si="39"/>
        <v>25100000</v>
      </c>
      <c r="Q148" s="10">
        <f t="shared" si="48"/>
        <v>0.13</v>
      </c>
      <c r="R148" s="10">
        <f t="shared" si="47"/>
        <v>0</v>
      </c>
      <c r="S148" s="60">
        <f t="shared" si="40"/>
        <v>0.13</v>
      </c>
      <c r="T148" s="57">
        <f t="shared" si="41"/>
        <v>9063.8888888888887</v>
      </c>
      <c r="U148" s="57">
        <f t="shared" ref="U148:U211" si="53">T148+U147+W147+X147</f>
        <v>1272416.670000002</v>
      </c>
      <c r="V148" s="67">
        <f t="shared" ref="V148:V211" si="54">IF(rngFrequency="Monthly",C148,IF(rngFrequency="Quarterly",G148,IF(rngFrequency="Yearly",K148,FALSE)))</f>
        <v>0</v>
      </c>
      <c r="Y148" s="97">
        <f t="shared" si="46"/>
        <v>0.13</v>
      </c>
      <c r="Z148" s="57">
        <f t="shared" ref="Z148:Z211" si="55">M148*Y148*(1/360)</f>
        <v>9063.8888888888887</v>
      </c>
      <c r="AA148" s="57">
        <f t="shared" si="42"/>
        <v>1180108.3333333337</v>
      </c>
      <c r="AD148" s="11"/>
    </row>
    <row r="149" spans="1:30" hidden="1" outlineLevel="1" x14ac:dyDescent="0.35">
      <c r="A149" s="75" t="str">
        <f t="shared" si="50"/>
        <v>No</v>
      </c>
      <c r="B149" s="75">
        <f t="shared" si="43"/>
        <v>5</v>
      </c>
      <c r="C149" s="76">
        <f t="shared" si="51"/>
        <v>0</v>
      </c>
      <c r="D149" s="77">
        <f t="shared" si="52"/>
        <v>43661</v>
      </c>
      <c r="E149" s="77" t="str">
        <f t="shared" ref="E149:E212" si="56">IF(D149=D148,"No","Yes")</f>
        <v>No</v>
      </c>
      <c r="F149" s="75">
        <f t="shared" ref="F149:F212" si="57">IF(E149="Yes",F148+1,F148)</f>
        <v>2</v>
      </c>
      <c r="G149" s="78">
        <f t="shared" ref="G149:G212" si="58">IF(E149="Yes",SUMIFS($T$20:$T$435,$F$20:$F$435,F149-1),0)</f>
        <v>0</v>
      </c>
      <c r="H149" s="77">
        <f t="shared" si="44"/>
        <v>43845</v>
      </c>
      <c r="I149" s="77" t="str">
        <f t="shared" ref="I149:I212" si="59">IF(H149=H148,"No","Yes")</f>
        <v>No</v>
      </c>
      <c r="J149" s="75">
        <f t="shared" ref="J149:J212" si="60">IF(I149="Yes",J148+1,J148)</f>
        <v>1</v>
      </c>
      <c r="K149" s="78">
        <f t="shared" si="45"/>
        <v>0</v>
      </c>
      <c r="L149" s="12">
        <v>43609</v>
      </c>
      <c r="M149" s="57">
        <f t="shared" ref="M149:M212" si="61">M148+N149+O149+P149</f>
        <v>25100000</v>
      </c>
      <c r="Q149" s="10">
        <f t="shared" si="48"/>
        <v>0.13</v>
      </c>
      <c r="R149" s="10">
        <f t="shared" si="47"/>
        <v>0</v>
      </c>
      <c r="S149" s="60">
        <f t="shared" ref="S149:S212" si="62">Q149+R149</f>
        <v>0.13</v>
      </c>
      <c r="T149" s="57">
        <f t="shared" ref="T149:T212" si="63">M149*S149*(1/360)</f>
        <v>9063.8888888888887</v>
      </c>
      <c r="U149" s="57">
        <f t="shared" si="53"/>
        <v>1281480.558888891</v>
      </c>
      <c r="V149" s="67">
        <f t="shared" si="54"/>
        <v>0</v>
      </c>
      <c r="Y149" s="97">
        <f t="shared" si="46"/>
        <v>0.13</v>
      </c>
      <c r="Z149" s="57">
        <f t="shared" si="55"/>
        <v>9063.8888888888887</v>
      </c>
      <c r="AA149" s="57">
        <f t="shared" ref="AA149:AA212" si="64">Z149+AA148+AB148+AC148</f>
        <v>1189172.2222222227</v>
      </c>
      <c r="AD149" s="11"/>
    </row>
    <row r="150" spans="1:30" hidden="1" outlineLevel="1" x14ac:dyDescent="0.35">
      <c r="A150" s="75" t="str">
        <f t="shared" si="50"/>
        <v>No</v>
      </c>
      <c r="B150" s="75">
        <f t="shared" ref="B150:B213" si="65">IF(A150="Yes",B149+1,B149)</f>
        <v>5</v>
      </c>
      <c r="C150" s="76">
        <f t="shared" si="51"/>
        <v>0</v>
      </c>
      <c r="D150" s="77">
        <f t="shared" si="52"/>
        <v>43661</v>
      </c>
      <c r="E150" s="77" t="str">
        <f t="shared" si="56"/>
        <v>No</v>
      </c>
      <c r="F150" s="75">
        <f t="shared" si="57"/>
        <v>2</v>
      </c>
      <c r="G150" s="78">
        <f t="shared" si="58"/>
        <v>0</v>
      </c>
      <c r="H150" s="77">
        <f t="shared" ref="H150:H213" si="66">IF(AND(L150&gt;L149,L150&lt;H149),H149,EDATE(L150,12))</f>
        <v>43845</v>
      </c>
      <c r="I150" s="77" t="str">
        <f t="shared" si="59"/>
        <v>No</v>
      </c>
      <c r="J150" s="75">
        <f t="shared" si="60"/>
        <v>1</v>
      </c>
      <c r="K150" s="78">
        <f t="shared" si="45"/>
        <v>0</v>
      </c>
      <c r="L150" s="12">
        <v>43610</v>
      </c>
      <c r="M150" s="57">
        <f t="shared" si="61"/>
        <v>25100000</v>
      </c>
      <c r="Q150" s="10">
        <f t="shared" si="48"/>
        <v>0.13</v>
      </c>
      <c r="R150" s="10">
        <f t="shared" si="47"/>
        <v>0</v>
      </c>
      <c r="S150" s="60">
        <f t="shared" si="62"/>
        <v>0.13</v>
      </c>
      <c r="T150" s="57">
        <f t="shared" si="63"/>
        <v>9063.8888888888887</v>
      </c>
      <c r="U150" s="57">
        <f t="shared" si="53"/>
        <v>1290544.44777778</v>
      </c>
      <c r="V150" s="67">
        <f t="shared" si="54"/>
        <v>0</v>
      </c>
      <c r="Y150" s="97">
        <f t="shared" si="46"/>
        <v>0.13</v>
      </c>
      <c r="Z150" s="57">
        <f t="shared" si="55"/>
        <v>9063.8888888888887</v>
      </c>
      <c r="AA150" s="57">
        <f t="shared" si="64"/>
        <v>1198236.1111111117</v>
      </c>
      <c r="AD150" s="11"/>
    </row>
    <row r="151" spans="1:30" hidden="1" outlineLevel="1" x14ac:dyDescent="0.35">
      <c r="A151" s="75" t="str">
        <f t="shared" si="50"/>
        <v>No</v>
      </c>
      <c r="B151" s="75">
        <f t="shared" si="65"/>
        <v>5</v>
      </c>
      <c r="C151" s="76">
        <f t="shared" si="51"/>
        <v>0</v>
      </c>
      <c r="D151" s="77">
        <f t="shared" si="52"/>
        <v>43661</v>
      </c>
      <c r="E151" s="77" t="str">
        <f t="shared" si="56"/>
        <v>No</v>
      </c>
      <c r="F151" s="75">
        <f t="shared" si="57"/>
        <v>2</v>
      </c>
      <c r="G151" s="78">
        <f t="shared" si="58"/>
        <v>0</v>
      </c>
      <c r="H151" s="77">
        <f t="shared" si="66"/>
        <v>43845</v>
      </c>
      <c r="I151" s="77" t="str">
        <f t="shared" si="59"/>
        <v>No</v>
      </c>
      <c r="J151" s="75">
        <f t="shared" si="60"/>
        <v>1</v>
      </c>
      <c r="K151" s="78">
        <f t="shared" si="45"/>
        <v>0</v>
      </c>
      <c r="L151" s="12">
        <v>43611</v>
      </c>
      <c r="M151" s="57">
        <f t="shared" si="61"/>
        <v>25100000</v>
      </c>
      <c r="Q151" s="10">
        <f t="shared" si="48"/>
        <v>0.13</v>
      </c>
      <c r="R151" s="10">
        <f t="shared" si="47"/>
        <v>0</v>
      </c>
      <c r="S151" s="60">
        <f t="shared" si="62"/>
        <v>0.13</v>
      </c>
      <c r="T151" s="57">
        <f t="shared" si="63"/>
        <v>9063.8888888888887</v>
      </c>
      <c r="U151" s="57">
        <f t="shared" si="53"/>
        <v>1299608.336666669</v>
      </c>
      <c r="V151" s="67">
        <f t="shared" si="54"/>
        <v>0</v>
      </c>
      <c r="Y151" s="97">
        <f t="shared" si="46"/>
        <v>0.13</v>
      </c>
      <c r="Z151" s="57">
        <f t="shared" si="55"/>
        <v>9063.8888888888887</v>
      </c>
      <c r="AA151" s="57">
        <f t="shared" si="64"/>
        <v>1207300.0000000007</v>
      </c>
      <c r="AD151" s="11"/>
    </row>
    <row r="152" spans="1:30" hidden="1" outlineLevel="1" x14ac:dyDescent="0.35">
      <c r="A152" s="75" t="str">
        <f t="shared" si="50"/>
        <v>No</v>
      </c>
      <c r="B152" s="75">
        <f t="shared" si="65"/>
        <v>5</v>
      </c>
      <c r="C152" s="76">
        <f t="shared" si="51"/>
        <v>0</v>
      </c>
      <c r="D152" s="77">
        <f t="shared" si="52"/>
        <v>43661</v>
      </c>
      <c r="E152" s="77" t="str">
        <f t="shared" si="56"/>
        <v>No</v>
      </c>
      <c r="F152" s="75">
        <f t="shared" si="57"/>
        <v>2</v>
      </c>
      <c r="G152" s="78">
        <f t="shared" si="58"/>
        <v>0</v>
      </c>
      <c r="H152" s="77">
        <f t="shared" si="66"/>
        <v>43845</v>
      </c>
      <c r="I152" s="77" t="str">
        <f t="shared" si="59"/>
        <v>No</v>
      </c>
      <c r="J152" s="75">
        <f t="shared" si="60"/>
        <v>1</v>
      </c>
      <c r="K152" s="78">
        <f t="shared" si="45"/>
        <v>0</v>
      </c>
      <c r="L152" s="12">
        <v>43612</v>
      </c>
      <c r="M152" s="57">
        <f t="shared" si="61"/>
        <v>25100000</v>
      </c>
      <c r="Q152" s="10">
        <f t="shared" si="48"/>
        <v>0.13</v>
      </c>
      <c r="R152" s="10">
        <f t="shared" si="47"/>
        <v>0</v>
      </c>
      <c r="S152" s="60">
        <f t="shared" si="62"/>
        <v>0.13</v>
      </c>
      <c r="T152" s="57">
        <f t="shared" si="63"/>
        <v>9063.8888888888887</v>
      </c>
      <c r="U152" s="57">
        <f t="shared" si="53"/>
        <v>1308672.225555558</v>
      </c>
      <c r="V152" s="67">
        <f t="shared" si="54"/>
        <v>0</v>
      </c>
      <c r="Y152" s="97">
        <f t="shared" si="46"/>
        <v>0.13</v>
      </c>
      <c r="Z152" s="57">
        <f t="shared" si="55"/>
        <v>9063.8888888888887</v>
      </c>
      <c r="AA152" s="57">
        <f t="shared" si="64"/>
        <v>1216363.8888888897</v>
      </c>
      <c r="AD152" s="11"/>
    </row>
    <row r="153" spans="1:30" hidden="1" outlineLevel="1" x14ac:dyDescent="0.35">
      <c r="A153" s="75" t="str">
        <f t="shared" si="50"/>
        <v>No</v>
      </c>
      <c r="B153" s="75">
        <f t="shared" si="65"/>
        <v>5</v>
      </c>
      <c r="C153" s="76">
        <f t="shared" si="51"/>
        <v>0</v>
      </c>
      <c r="D153" s="77">
        <f t="shared" si="52"/>
        <v>43661</v>
      </c>
      <c r="E153" s="77" t="str">
        <f t="shared" si="56"/>
        <v>No</v>
      </c>
      <c r="F153" s="75">
        <f t="shared" si="57"/>
        <v>2</v>
      </c>
      <c r="G153" s="78">
        <f t="shared" si="58"/>
        <v>0</v>
      </c>
      <c r="H153" s="77">
        <f t="shared" si="66"/>
        <v>43845</v>
      </c>
      <c r="I153" s="77" t="str">
        <f t="shared" si="59"/>
        <v>No</v>
      </c>
      <c r="J153" s="75">
        <f t="shared" si="60"/>
        <v>1</v>
      </c>
      <c r="K153" s="78">
        <f t="shared" si="45"/>
        <v>0</v>
      </c>
      <c r="L153" s="12">
        <v>43613</v>
      </c>
      <c r="M153" s="57">
        <f t="shared" si="61"/>
        <v>25100000</v>
      </c>
      <c r="Q153" s="10">
        <f t="shared" si="48"/>
        <v>0.13</v>
      </c>
      <c r="R153" s="10">
        <f t="shared" si="47"/>
        <v>0</v>
      </c>
      <c r="S153" s="60">
        <f t="shared" si="62"/>
        <v>0.13</v>
      </c>
      <c r="T153" s="57">
        <f t="shared" si="63"/>
        <v>9063.8888888888887</v>
      </c>
      <c r="U153" s="57">
        <f t="shared" si="53"/>
        <v>1317736.114444447</v>
      </c>
      <c r="V153" s="67">
        <f t="shared" si="54"/>
        <v>0</v>
      </c>
      <c r="Y153" s="97">
        <f t="shared" si="46"/>
        <v>0.13</v>
      </c>
      <c r="Z153" s="57">
        <f t="shared" si="55"/>
        <v>9063.8888888888887</v>
      </c>
      <c r="AA153" s="57">
        <f t="shared" si="64"/>
        <v>1225427.7777777787</v>
      </c>
      <c r="AD153" s="11"/>
    </row>
    <row r="154" spans="1:30" hidden="1" outlineLevel="1" x14ac:dyDescent="0.35">
      <c r="A154" s="75" t="str">
        <f t="shared" si="50"/>
        <v>No</v>
      </c>
      <c r="B154" s="75">
        <f t="shared" si="65"/>
        <v>5</v>
      </c>
      <c r="C154" s="76">
        <f t="shared" si="51"/>
        <v>0</v>
      </c>
      <c r="D154" s="77">
        <f t="shared" si="52"/>
        <v>43661</v>
      </c>
      <c r="E154" s="77" t="str">
        <f t="shared" si="56"/>
        <v>No</v>
      </c>
      <c r="F154" s="75">
        <f t="shared" si="57"/>
        <v>2</v>
      </c>
      <c r="G154" s="78">
        <f t="shared" si="58"/>
        <v>0</v>
      </c>
      <c r="H154" s="77">
        <f t="shared" si="66"/>
        <v>43845</v>
      </c>
      <c r="I154" s="77" t="str">
        <f t="shared" si="59"/>
        <v>No</v>
      </c>
      <c r="J154" s="75">
        <f t="shared" si="60"/>
        <v>1</v>
      </c>
      <c r="K154" s="78">
        <f t="shared" si="45"/>
        <v>0</v>
      </c>
      <c r="L154" s="12">
        <v>43614</v>
      </c>
      <c r="M154" s="57">
        <f t="shared" si="61"/>
        <v>25100000</v>
      </c>
      <c r="Q154" s="10">
        <f t="shared" si="48"/>
        <v>0.13</v>
      </c>
      <c r="R154" s="10">
        <f t="shared" si="47"/>
        <v>0</v>
      </c>
      <c r="S154" s="60">
        <f t="shared" si="62"/>
        <v>0.13</v>
      </c>
      <c r="T154" s="57">
        <f t="shared" si="63"/>
        <v>9063.8888888888887</v>
      </c>
      <c r="U154" s="57">
        <f t="shared" si="53"/>
        <v>1326800.003333336</v>
      </c>
      <c r="V154" s="67">
        <f t="shared" si="54"/>
        <v>0</v>
      </c>
      <c r="Y154" s="97">
        <f t="shared" si="46"/>
        <v>0.13</v>
      </c>
      <c r="Z154" s="57">
        <f t="shared" si="55"/>
        <v>9063.8888888888887</v>
      </c>
      <c r="AA154" s="57">
        <f t="shared" si="64"/>
        <v>1234491.6666666677</v>
      </c>
      <c r="AD154" s="11"/>
    </row>
    <row r="155" spans="1:30" hidden="1" outlineLevel="1" x14ac:dyDescent="0.35">
      <c r="A155" s="75" t="str">
        <f t="shared" si="50"/>
        <v>No</v>
      </c>
      <c r="B155" s="75">
        <f t="shared" si="65"/>
        <v>5</v>
      </c>
      <c r="C155" s="76">
        <f t="shared" si="51"/>
        <v>0</v>
      </c>
      <c r="D155" s="77">
        <f t="shared" si="52"/>
        <v>43661</v>
      </c>
      <c r="E155" s="77" t="str">
        <f t="shared" si="56"/>
        <v>No</v>
      </c>
      <c r="F155" s="75">
        <f t="shared" si="57"/>
        <v>2</v>
      </c>
      <c r="G155" s="78">
        <f t="shared" si="58"/>
        <v>0</v>
      </c>
      <c r="H155" s="77">
        <f t="shared" si="66"/>
        <v>43845</v>
      </c>
      <c r="I155" s="77" t="str">
        <f t="shared" si="59"/>
        <v>No</v>
      </c>
      <c r="J155" s="75">
        <f t="shared" si="60"/>
        <v>1</v>
      </c>
      <c r="K155" s="78">
        <f t="shared" si="45"/>
        <v>0</v>
      </c>
      <c r="L155" s="12">
        <v>43615</v>
      </c>
      <c r="M155" s="57">
        <f t="shared" si="61"/>
        <v>25100000</v>
      </c>
      <c r="Q155" s="10">
        <f t="shared" si="48"/>
        <v>0.13</v>
      </c>
      <c r="R155" s="10">
        <f t="shared" si="47"/>
        <v>0</v>
      </c>
      <c r="S155" s="60">
        <f t="shared" si="62"/>
        <v>0.13</v>
      </c>
      <c r="T155" s="57">
        <f t="shared" si="63"/>
        <v>9063.8888888888887</v>
      </c>
      <c r="U155" s="57">
        <f t="shared" si="53"/>
        <v>1335863.892222225</v>
      </c>
      <c r="V155" s="67">
        <f t="shared" si="54"/>
        <v>0</v>
      </c>
      <c r="Y155" s="97">
        <f t="shared" si="46"/>
        <v>0.13</v>
      </c>
      <c r="Z155" s="57">
        <f t="shared" si="55"/>
        <v>9063.8888888888887</v>
      </c>
      <c r="AA155" s="57">
        <f t="shared" si="64"/>
        <v>1243555.5555555567</v>
      </c>
      <c r="AD155" s="11"/>
    </row>
    <row r="156" spans="1:30" hidden="1" outlineLevel="1" x14ac:dyDescent="0.35">
      <c r="A156" s="75" t="str">
        <f t="shared" si="50"/>
        <v>No</v>
      </c>
      <c r="B156" s="75">
        <f t="shared" si="65"/>
        <v>5</v>
      </c>
      <c r="C156" s="76">
        <f t="shared" si="51"/>
        <v>0</v>
      </c>
      <c r="D156" s="77">
        <f t="shared" si="52"/>
        <v>43661</v>
      </c>
      <c r="E156" s="77" t="str">
        <f t="shared" si="56"/>
        <v>No</v>
      </c>
      <c r="F156" s="75">
        <f t="shared" si="57"/>
        <v>2</v>
      </c>
      <c r="G156" s="78">
        <f t="shared" si="58"/>
        <v>0</v>
      </c>
      <c r="H156" s="77">
        <f t="shared" si="66"/>
        <v>43845</v>
      </c>
      <c r="I156" s="77" t="str">
        <f t="shared" si="59"/>
        <v>No</v>
      </c>
      <c r="J156" s="75">
        <f t="shared" si="60"/>
        <v>1</v>
      </c>
      <c r="K156" s="78">
        <f t="shared" si="45"/>
        <v>0</v>
      </c>
      <c r="L156" s="12">
        <v>43616</v>
      </c>
      <c r="M156" s="57">
        <f t="shared" si="61"/>
        <v>25100000</v>
      </c>
      <c r="Q156" s="10">
        <f t="shared" si="48"/>
        <v>0.13</v>
      </c>
      <c r="R156" s="10">
        <f t="shared" si="47"/>
        <v>0</v>
      </c>
      <c r="S156" s="60">
        <f t="shared" si="62"/>
        <v>0.13</v>
      </c>
      <c r="T156" s="57">
        <f t="shared" si="63"/>
        <v>9063.8888888888887</v>
      </c>
      <c r="U156" s="57">
        <f t="shared" si="53"/>
        <v>1344927.781111114</v>
      </c>
      <c r="V156" s="67">
        <f t="shared" si="54"/>
        <v>0</v>
      </c>
      <c r="Y156" s="97">
        <f t="shared" si="46"/>
        <v>0.13</v>
      </c>
      <c r="Z156" s="57">
        <f t="shared" si="55"/>
        <v>9063.8888888888887</v>
      </c>
      <c r="AA156" s="57">
        <f t="shared" si="64"/>
        <v>1252619.4444444457</v>
      </c>
      <c r="AD156" s="11"/>
    </row>
    <row r="157" spans="1:30" hidden="1" outlineLevel="1" x14ac:dyDescent="0.35">
      <c r="A157" s="75" t="str">
        <f t="shared" si="50"/>
        <v>No</v>
      </c>
      <c r="B157" s="75">
        <f t="shared" si="65"/>
        <v>5</v>
      </c>
      <c r="C157" s="76">
        <f t="shared" si="51"/>
        <v>0</v>
      </c>
      <c r="D157" s="77">
        <f t="shared" si="52"/>
        <v>43661</v>
      </c>
      <c r="E157" s="77" t="str">
        <f t="shared" si="56"/>
        <v>No</v>
      </c>
      <c r="F157" s="75">
        <f t="shared" si="57"/>
        <v>2</v>
      </c>
      <c r="G157" s="78">
        <f t="shared" si="58"/>
        <v>0</v>
      </c>
      <c r="H157" s="77">
        <f t="shared" si="66"/>
        <v>43845</v>
      </c>
      <c r="I157" s="77" t="str">
        <f t="shared" si="59"/>
        <v>No</v>
      </c>
      <c r="J157" s="75">
        <f t="shared" si="60"/>
        <v>1</v>
      </c>
      <c r="K157" s="78">
        <f t="shared" ref="K157:K220" si="67">IF(I157="Yes",SUMIFS($T$20:$T$435,$J$20:$J$435,J157-1),0)</f>
        <v>0</v>
      </c>
      <c r="L157" s="12">
        <v>43617</v>
      </c>
      <c r="M157" s="57">
        <f t="shared" si="61"/>
        <v>25100000</v>
      </c>
      <c r="Q157" s="10">
        <f t="shared" si="48"/>
        <v>0.13</v>
      </c>
      <c r="R157" s="10">
        <f t="shared" si="47"/>
        <v>0</v>
      </c>
      <c r="S157" s="60">
        <f t="shared" si="62"/>
        <v>0.13</v>
      </c>
      <c r="T157" s="57">
        <f t="shared" si="63"/>
        <v>9063.8888888888887</v>
      </c>
      <c r="U157" s="57">
        <f t="shared" si="53"/>
        <v>1353991.670000003</v>
      </c>
      <c r="V157" s="67">
        <f t="shared" si="54"/>
        <v>0</v>
      </c>
      <c r="Y157" s="97">
        <f t="shared" si="46"/>
        <v>0.13</v>
      </c>
      <c r="Z157" s="57">
        <f t="shared" si="55"/>
        <v>9063.8888888888887</v>
      </c>
      <c r="AA157" s="57">
        <f t="shared" si="64"/>
        <v>1261683.3333333347</v>
      </c>
      <c r="AD157" s="11"/>
    </row>
    <row r="158" spans="1:30" hidden="1" outlineLevel="1" x14ac:dyDescent="0.35">
      <c r="A158" s="75" t="str">
        <f t="shared" si="50"/>
        <v>No</v>
      </c>
      <c r="B158" s="75">
        <f t="shared" si="65"/>
        <v>5</v>
      </c>
      <c r="C158" s="76">
        <f t="shared" si="51"/>
        <v>0</v>
      </c>
      <c r="D158" s="77">
        <f t="shared" si="52"/>
        <v>43661</v>
      </c>
      <c r="E158" s="77" t="str">
        <f t="shared" si="56"/>
        <v>No</v>
      </c>
      <c r="F158" s="75">
        <f t="shared" si="57"/>
        <v>2</v>
      </c>
      <c r="G158" s="78">
        <f t="shared" si="58"/>
        <v>0</v>
      </c>
      <c r="H158" s="77">
        <f t="shared" si="66"/>
        <v>43845</v>
      </c>
      <c r="I158" s="77" t="str">
        <f t="shared" si="59"/>
        <v>No</v>
      </c>
      <c r="J158" s="75">
        <f t="shared" si="60"/>
        <v>1</v>
      </c>
      <c r="K158" s="78">
        <f t="shared" si="67"/>
        <v>0</v>
      </c>
      <c r="L158" s="12">
        <v>43618</v>
      </c>
      <c r="M158" s="57">
        <f t="shared" si="61"/>
        <v>25100000</v>
      </c>
      <c r="Q158" s="10">
        <f t="shared" si="48"/>
        <v>0.13</v>
      </c>
      <c r="R158" s="10">
        <f t="shared" si="47"/>
        <v>0</v>
      </c>
      <c r="S158" s="60">
        <f t="shared" si="62"/>
        <v>0.13</v>
      </c>
      <c r="T158" s="57">
        <f t="shared" si="63"/>
        <v>9063.8888888888887</v>
      </c>
      <c r="U158" s="57">
        <f t="shared" si="53"/>
        <v>1363055.5588888919</v>
      </c>
      <c r="V158" s="67">
        <f t="shared" si="54"/>
        <v>0</v>
      </c>
      <c r="Y158" s="97">
        <f t="shared" si="46"/>
        <v>0.13</v>
      </c>
      <c r="Z158" s="57">
        <f t="shared" si="55"/>
        <v>9063.8888888888887</v>
      </c>
      <c r="AA158" s="57">
        <f t="shared" si="64"/>
        <v>1270747.2222222236</v>
      </c>
      <c r="AD158" s="11"/>
    </row>
    <row r="159" spans="1:30" hidden="1" outlineLevel="1" x14ac:dyDescent="0.35">
      <c r="A159" s="75" t="str">
        <f t="shared" si="50"/>
        <v>No</v>
      </c>
      <c r="B159" s="75">
        <f t="shared" si="65"/>
        <v>5</v>
      </c>
      <c r="C159" s="76">
        <f t="shared" si="51"/>
        <v>0</v>
      </c>
      <c r="D159" s="77">
        <f t="shared" si="52"/>
        <v>43661</v>
      </c>
      <c r="E159" s="77" t="str">
        <f t="shared" si="56"/>
        <v>No</v>
      </c>
      <c r="F159" s="75">
        <f t="shared" si="57"/>
        <v>2</v>
      </c>
      <c r="G159" s="78">
        <f t="shared" si="58"/>
        <v>0</v>
      </c>
      <c r="H159" s="77">
        <f t="shared" si="66"/>
        <v>43845</v>
      </c>
      <c r="I159" s="77" t="str">
        <f t="shared" si="59"/>
        <v>No</v>
      </c>
      <c r="J159" s="75">
        <f t="shared" si="60"/>
        <v>1</v>
      </c>
      <c r="K159" s="78">
        <f t="shared" si="67"/>
        <v>0</v>
      </c>
      <c r="L159" s="12">
        <v>43619</v>
      </c>
      <c r="M159" s="57">
        <f t="shared" si="61"/>
        <v>25100000</v>
      </c>
      <c r="Q159" s="10">
        <f t="shared" si="48"/>
        <v>0.13</v>
      </c>
      <c r="R159" s="10">
        <f t="shared" si="47"/>
        <v>0</v>
      </c>
      <c r="S159" s="60">
        <f t="shared" si="62"/>
        <v>0.13</v>
      </c>
      <c r="T159" s="57">
        <f t="shared" si="63"/>
        <v>9063.8888888888887</v>
      </c>
      <c r="U159" s="57">
        <f t="shared" si="53"/>
        <v>1372119.4477777809</v>
      </c>
      <c r="V159" s="67">
        <f t="shared" si="54"/>
        <v>0</v>
      </c>
      <c r="Y159" s="97">
        <f t="shared" si="46"/>
        <v>0.13</v>
      </c>
      <c r="Z159" s="57">
        <f t="shared" si="55"/>
        <v>9063.8888888888887</v>
      </c>
      <c r="AA159" s="57">
        <f t="shared" si="64"/>
        <v>1279811.1111111126</v>
      </c>
      <c r="AD159" s="11"/>
    </row>
    <row r="160" spans="1:30" hidden="1" outlineLevel="1" x14ac:dyDescent="0.35">
      <c r="A160" s="75" t="str">
        <f t="shared" si="50"/>
        <v>No</v>
      </c>
      <c r="B160" s="75">
        <f t="shared" si="65"/>
        <v>5</v>
      </c>
      <c r="C160" s="76">
        <f t="shared" si="51"/>
        <v>0</v>
      </c>
      <c r="D160" s="77">
        <f t="shared" si="52"/>
        <v>43661</v>
      </c>
      <c r="E160" s="77" t="str">
        <f t="shared" si="56"/>
        <v>No</v>
      </c>
      <c r="F160" s="75">
        <f t="shared" si="57"/>
        <v>2</v>
      </c>
      <c r="G160" s="78">
        <f t="shared" si="58"/>
        <v>0</v>
      </c>
      <c r="H160" s="77">
        <f t="shared" si="66"/>
        <v>43845</v>
      </c>
      <c r="I160" s="77" t="str">
        <f t="shared" si="59"/>
        <v>No</v>
      </c>
      <c r="J160" s="75">
        <f t="shared" si="60"/>
        <v>1</v>
      </c>
      <c r="K160" s="78">
        <f t="shared" si="67"/>
        <v>0</v>
      </c>
      <c r="L160" s="12">
        <v>43620</v>
      </c>
      <c r="M160" s="57">
        <f t="shared" si="61"/>
        <v>25100000</v>
      </c>
      <c r="Q160" s="10">
        <f t="shared" si="48"/>
        <v>0.13</v>
      </c>
      <c r="R160" s="10">
        <f t="shared" si="47"/>
        <v>0</v>
      </c>
      <c r="S160" s="60">
        <f t="shared" si="62"/>
        <v>0.13</v>
      </c>
      <c r="T160" s="57">
        <f t="shared" si="63"/>
        <v>9063.8888888888887</v>
      </c>
      <c r="U160" s="57">
        <f t="shared" si="53"/>
        <v>1381183.3366666699</v>
      </c>
      <c r="V160" s="67">
        <f t="shared" si="54"/>
        <v>0</v>
      </c>
      <c r="Y160" s="97">
        <f t="shared" si="46"/>
        <v>0.13</v>
      </c>
      <c r="Z160" s="57">
        <f t="shared" si="55"/>
        <v>9063.8888888888887</v>
      </c>
      <c r="AA160" s="57">
        <f t="shared" si="64"/>
        <v>1288875.0000000016</v>
      </c>
      <c r="AD160" s="11"/>
    </row>
    <row r="161" spans="1:30" hidden="1" outlineLevel="1" x14ac:dyDescent="0.35">
      <c r="A161" s="75" t="str">
        <f t="shared" si="50"/>
        <v>No</v>
      </c>
      <c r="B161" s="75">
        <f t="shared" si="65"/>
        <v>5</v>
      </c>
      <c r="C161" s="76">
        <f t="shared" si="51"/>
        <v>0</v>
      </c>
      <c r="D161" s="77">
        <f t="shared" si="52"/>
        <v>43661</v>
      </c>
      <c r="E161" s="77" t="str">
        <f t="shared" si="56"/>
        <v>No</v>
      </c>
      <c r="F161" s="75">
        <f t="shared" si="57"/>
        <v>2</v>
      </c>
      <c r="G161" s="78">
        <f t="shared" si="58"/>
        <v>0</v>
      </c>
      <c r="H161" s="77">
        <f t="shared" si="66"/>
        <v>43845</v>
      </c>
      <c r="I161" s="77" t="str">
        <f t="shared" si="59"/>
        <v>No</v>
      </c>
      <c r="J161" s="75">
        <f t="shared" si="60"/>
        <v>1</v>
      </c>
      <c r="K161" s="78">
        <f t="shared" si="67"/>
        <v>0</v>
      </c>
      <c r="L161" s="12">
        <v>43621</v>
      </c>
      <c r="M161" s="57">
        <f t="shared" si="61"/>
        <v>25100000</v>
      </c>
      <c r="Q161" s="10">
        <f t="shared" si="48"/>
        <v>0.13</v>
      </c>
      <c r="R161" s="10">
        <f t="shared" si="47"/>
        <v>0</v>
      </c>
      <c r="S161" s="60">
        <f t="shared" si="62"/>
        <v>0.13</v>
      </c>
      <c r="T161" s="57">
        <f t="shared" si="63"/>
        <v>9063.8888888888887</v>
      </c>
      <c r="U161" s="57">
        <f t="shared" si="53"/>
        <v>1390247.2255555589</v>
      </c>
      <c r="V161" s="67">
        <f t="shared" si="54"/>
        <v>0</v>
      </c>
      <c r="Y161" s="97">
        <f t="shared" si="46"/>
        <v>0.13</v>
      </c>
      <c r="Z161" s="57">
        <f t="shared" si="55"/>
        <v>9063.8888888888887</v>
      </c>
      <c r="AA161" s="57">
        <f t="shared" si="64"/>
        <v>1297938.8888888906</v>
      </c>
      <c r="AD161" s="11"/>
    </row>
    <row r="162" spans="1:30" hidden="1" outlineLevel="1" x14ac:dyDescent="0.35">
      <c r="A162" s="75" t="str">
        <f t="shared" si="50"/>
        <v>No</v>
      </c>
      <c r="B162" s="75">
        <f t="shared" si="65"/>
        <v>5</v>
      </c>
      <c r="C162" s="76">
        <f t="shared" si="51"/>
        <v>0</v>
      </c>
      <c r="D162" s="77">
        <f t="shared" si="52"/>
        <v>43661</v>
      </c>
      <c r="E162" s="77" t="str">
        <f t="shared" si="56"/>
        <v>No</v>
      </c>
      <c r="F162" s="75">
        <f t="shared" si="57"/>
        <v>2</v>
      </c>
      <c r="G162" s="78">
        <f t="shared" si="58"/>
        <v>0</v>
      </c>
      <c r="H162" s="77">
        <f t="shared" si="66"/>
        <v>43845</v>
      </c>
      <c r="I162" s="77" t="str">
        <f t="shared" si="59"/>
        <v>No</v>
      </c>
      <c r="J162" s="75">
        <f t="shared" si="60"/>
        <v>1</v>
      </c>
      <c r="K162" s="78">
        <f t="shared" si="67"/>
        <v>0</v>
      </c>
      <c r="L162" s="12">
        <v>43622</v>
      </c>
      <c r="M162" s="57">
        <f t="shared" si="61"/>
        <v>25100000</v>
      </c>
      <c r="Q162" s="10">
        <f t="shared" si="48"/>
        <v>0.13</v>
      </c>
      <c r="R162" s="10">
        <f t="shared" si="47"/>
        <v>0</v>
      </c>
      <c r="S162" s="60">
        <f t="shared" si="62"/>
        <v>0.13</v>
      </c>
      <c r="T162" s="57">
        <f t="shared" si="63"/>
        <v>9063.8888888888887</v>
      </c>
      <c r="U162" s="57">
        <f t="shared" si="53"/>
        <v>1399311.1144444479</v>
      </c>
      <c r="V162" s="67">
        <f t="shared" si="54"/>
        <v>0</v>
      </c>
      <c r="Y162" s="97">
        <f t="shared" si="46"/>
        <v>0.13</v>
      </c>
      <c r="Z162" s="57">
        <f t="shared" si="55"/>
        <v>9063.8888888888887</v>
      </c>
      <c r="AA162" s="57">
        <f t="shared" si="64"/>
        <v>1307002.7777777796</v>
      </c>
      <c r="AD162" s="11"/>
    </row>
    <row r="163" spans="1:30" hidden="1" outlineLevel="1" x14ac:dyDescent="0.35">
      <c r="A163" s="75" t="str">
        <f t="shared" si="50"/>
        <v>No</v>
      </c>
      <c r="B163" s="75">
        <f t="shared" si="65"/>
        <v>5</v>
      </c>
      <c r="C163" s="76">
        <f t="shared" si="51"/>
        <v>0</v>
      </c>
      <c r="D163" s="77">
        <f t="shared" si="52"/>
        <v>43661</v>
      </c>
      <c r="E163" s="77" t="str">
        <f t="shared" si="56"/>
        <v>No</v>
      </c>
      <c r="F163" s="75">
        <f t="shared" si="57"/>
        <v>2</v>
      </c>
      <c r="G163" s="78">
        <f t="shared" si="58"/>
        <v>0</v>
      </c>
      <c r="H163" s="77">
        <f t="shared" si="66"/>
        <v>43845</v>
      </c>
      <c r="I163" s="77" t="str">
        <f t="shared" si="59"/>
        <v>No</v>
      </c>
      <c r="J163" s="75">
        <f t="shared" si="60"/>
        <v>1</v>
      </c>
      <c r="K163" s="78">
        <f t="shared" si="67"/>
        <v>0</v>
      </c>
      <c r="L163" s="12">
        <v>43623</v>
      </c>
      <c r="M163" s="57">
        <f t="shared" si="61"/>
        <v>25100000</v>
      </c>
      <c r="Q163" s="10">
        <f t="shared" si="48"/>
        <v>0.13</v>
      </c>
      <c r="R163" s="10">
        <f t="shared" si="47"/>
        <v>0</v>
      </c>
      <c r="S163" s="60">
        <f t="shared" si="62"/>
        <v>0.13</v>
      </c>
      <c r="T163" s="57">
        <f t="shared" si="63"/>
        <v>9063.8888888888887</v>
      </c>
      <c r="U163" s="57">
        <f t="shared" si="53"/>
        <v>1408375.0033333369</v>
      </c>
      <c r="V163" s="67">
        <f t="shared" si="54"/>
        <v>0</v>
      </c>
      <c r="Y163" s="97">
        <f t="shared" si="46"/>
        <v>0.13</v>
      </c>
      <c r="Z163" s="57">
        <f t="shared" si="55"/>
        <v>9063.8888888888887</v>
      </c>
      <c r="AA163" s="57">
        <f t="shared" si="64"/>
        <v>1316066.6666666686</v>
      </c>
      <c r="AD163" s="11"/>
    </row>
    <row r="164" spans="1:30" hidden="1" outlineLevel="1" x14ac:dyDescent="0.35">
      <c r="A164" s="75" t="str">
        <f t="shared" si="50"/>
        <v>No</v>
      </c>
      <c r="B164" s="75">
        <f t="shared" si="65"/>
        <v>5</v>
      </c>
      <c r="C164" s="76">
        <f t="shared" si="51"/>
        <v>0</v>
      </c>
      <c r="D164" s="77">
        <f t="shared" si="52"/>
        <v>43661</v>
      </c>
      <c r="E164" s="77" t="str">
        <f t="shared" si="56"/>
        <v>No</v>
      </c>
      <c r="F164" s="75">
        <f t="shared" si="57"/>
        <v>2</v>
      </c>
      <c r="G164" s="78">
        <f t="shared" si="58"/>
        <v>0</v>
      </c>
      <c r="H164" s="77">
        <f t="shared" si="66"/>
        <v>43845</v>
      </c>
      <c r="I164" s="77" t="str">
        <f t="shared" si="59"/>
        <v>No</v>
      </c>
      <c r="J164" s="75">
        <f t="shared" si="60"/>
        <v>1</v>
      </c>
      <c r="K164" s="78">
        <f t="shared" si="67"/>
        <v>0</v>
      </c>
      <c r="L164" s="12">
        <v>43624</v>
      </c>
      <c r="M164" s="57">
        <f t="shared" si="61"/>
        <v>25100000</v>
      </c>
      <c r="Q164" s="10">
        <f t="shared" si="48"/>
        <v>0.13</v>
      </c>
      <c r="R164" s="10">
        <f t="shared" si="47"/>
        <v>0</v>
      </c>
      <c r="S164" s="60">
        <f t="shared" si="62"/>
        <v>0.13</v>
      </c>
      <c r="T164" s="57">
        <f t="shared" si="63"/>
        <v>9063.8888888888887</v>
      </c>
      <c r="U164" s="57">
        <f t="shared" si="53"/>
        <v>1417438.8922222259</v>
      </c>
      <c r="V164" s="67">
        <f t="shared" si="54"/>
        <v>0</v>
      </c>
      <c r="Y164" s="97">
        <f t="shared" si="46"/>
        <v>0.13</v>
      </c>
      <c r="Z164" s="57">
        <f t="shared" si="55"/>
        <v>9063.8888888888887</v>
      </c>
      <c r="AA164" s="57">
        <f t="shared" si="64"/>
        <v>1325130.5555555576</v>
      </c>
      <c r="AD164" s="11"/>
    </row>
    <row r="165" spans="1:30" hidden="1" outlineLevel="1" x14ac:dyDescent="0.35">
      <c r="A165" s="75" t="str">
        <f t="shared" si="50"/>
        <v>No</v>
      </c>
      <c r="B165" s="75">
        <f t="shared" si="65"/>
        <v>5</v>
      </c>
      <c r="C165" s="76">
        <f t="shared" si="51"/>
        <v>0</v>
      </c>
      <c r="D165" s="77">
        <f t="shared" si="52"/>
        <v>43661</v>
      </c>
      <c r="E165" s="77" t="str">
        <f t="shared" si="56"/>
        <v>No</v>
      </c>
      <c r="F165" s="75">
        <f t="shared" si="57"/>
        <v>2</v>
      </c>
      <c r="G165" s="78">
        <f t="shared" si="58"/>
        <v>0</v>
      </c>
      <c r="H165" s="77">
        <f t="shared" si="66"/>
        <v>43845</v>
      </c>
      <c r="I165" s="77" t="str">
        <f t="shared" si="59"/>
        <v>No</v>
      </c>
      <c r="J165" s="75">
        <f t="shared" si="60"/>
        <v>1</v>
      </c>
      <c r="K165" s="78">
        <f t="shared" si="67"/>
        <v>0</v>
      </c>
      <c r="L165" s="12">
        <v>43625</v>
      </c>
      <c r="M165" s="57">
        <f t="shared" si="61"/>
        <v>25100000</v>
      </c>
      <c r="Q165" s="10">
        <f t="shared" si="48"/>
        <v>0.13</v>
      </c>
      <c r="R165" s="10">
        <f t="shared" si="47"/>
        <v>0</v>
      </c>
      <c r="S165" s="60">
        <f t="shared" si="62"/>
        <v>0.13</v>
      </c>
      <c r="T165" s="57">
        <f t="shared" si="63"/>
        <v>9063.8888888888887</v>
      </c>
      <c r="U165" s="57">
        <f t="shared" si="53"/>
        <v>1426502.7811111149</v>
      </c>
      <c r="V165" s="67">
        <f t="shared" si="54"/>
        <v>0</v>
      </c>
      <c r="Y165" s="97">
        <f t="shared" si="46"/>
        <v>0.13</v>
      </c>
      <c r="Z165" s="57">
        <f t="shared" si="55"/>
        <v>9063.8888888888887</v>
      </c>
      <c r="AA165" s="57">
        <f t="shared" si="64"/>
        <v>1334194.4444444466</v>
      </c>
      <c r="AD165" s="11"/>
    </row>
    <row r="166" spans="1:30" hidden="1" outlineLevel="1" x14ac:dyDescent="0.35">
      <c r="A166" s="75" t="str">
        <f t="shared" si="50"/>
        <v>No</v>
      </c>
      <c r="B166" s="75">
        <f t="shared" si="65"/>
        <v>5</v>
      </c>
      <c r="C166" s="76">
        <f t="shared" si="51"/>
        <v>0</v>
      </c>
      <c r="D166" s="77">
        <f t="shared" si="52"/>
        <v>43661</v>
      </c>
      <c r="E166" s="77" t="str">
        <f t="shared" si="56"/>
        <v>No</v>
      </c>
      <c r="F166" s="75">
        <f t="shared" si="57"/>
        <v>2</v>
      </c>
      <c r="G166" s="78">
        <f t="shared" si="58"/>
        <v>0</v>
      </c>
      <c r="H166" s="77">
        <f t="shared" si="66"/>
        <v>43845</v>
      </c>
      <c r="I166" s="77" t="str">
        <f t="shared" si="59"/>
        <v>No</v>
      </c>
      <c r="J166" s="75">
        <f t="shared" si="60"/>
        <v>1</v>
      </c>
      <c r="K166" s="78">
        <f t="shared" si="67"/>
        <v>0</v>
      </c>
      <c r="L166" s="12">
        <v>43626</v>
      </c>
      <c r="M166" s="57">
        <f t="shared" si="61"/>
        <v>25100000</v>
      </c>
      <c r="Q166" s="10">
        <f t="shared" si="48"/>
        <v>0.13</v>
      </c>
      <c r="R166" s="10">
        <f t="shared" si="47"/>
        <v>0</v>
      </c>
      <c r="S166" s="60">
        <f t="shared" si="62"/>
        <v>0.13</v>
      </c>
      <c r="T166" s="57">
        <f t="shared" si="63"/>
        <v>9063.8888888888887</v>
      </c>
      <c r="U166" s="57">
        <f t="shared" si="53"/>
        <v>1435566.6700000039</v>
      </c>
      <c r="V166" s="67">
        <f t="shared" si="54"/>
        <v>0</v>
      </c>
      <c r="Y166" s="97">
        <f t="shared" ref="Y166:Y229" si="68">Y165</f>
        <v>0.13</v>
      </c>
      <c r="Z166" s="57">
        <f t="shared" si="55"/>
        <v>9063.8888888888887</v>
      </c>
      <c r="AA166" s="57">
        <f t="shared" si="64"/>
        <v>1343258.3333333356</v>
      </c>
      <c r="AD166" s="11"/>
    </row>
    <row r="167" spans="1:30" hidden="1" outlineLevel="1" x14ac:dyDescent="0.35">
      <c r="A167" s="75" t="str">
        <f t="shared" si="50"/>
        <v>No</v>
      </c>
      <c r="B167" s="75">
        <f t="shared" si="65"/>
        <v>5</v>
      </c>
      <c r="C167" s="76">
        <f t="shared" si="51"/>
        <v>0</v>
      </c>
      <c r="D167" s="77">
        <f t="shared" si="52"/>
        <v>43661</v>
      </c>
      <c r="E167" s="77" t="str">
        <f t="shared" si="56"/>
        <v>No</v>
      </c>
      <c r="F167" s="75">
        <f t="shared" si="57"/>
        <v>2</v>
      </c>
      <c r="G167" s="78">
        <f t="shared" si="58"/>
        <v>0</v>
      </c>
      <c r="H167" s="77">
        <f t="shared" si="66"/>
        <v>43845</v>
      </c>
      <c r="I167" s="77" t="str">
        <f t="shared" si="59"/>
        <v>No</v>
      </c>
      <c r="J167" s="75">
        <f t="shared" si="60"/>
        <v>1</v>
      </c>
      <c r="K167" s="78">
        <f t="shared" si="67"/>
        <v>0</v>
      </c>
      <c r="L167" s="12">
        <v>43627</v>
      </c>
      <c r="M167" s="57">
        <f t="shared" si="61"/>
        <v>25100000</v>
      </c>
      <c r="Q167" s="10">
        <f t="shared" si="48"/>
        <v>0.13</v>
      </c>
      <c r="R167" s="10">
        <f t="shared" si="47"/>
        <v>0</v>
      </c>
      <c r="S167" s="60">
        <f t="shared" si="62"/>
        <v>0.13</v>
      </c>
      <c r="T167" s="57">
        <f t="shared" si="63"/>
        <v>9063.8888888888887</v>
      </c>
      <c r="U167" s="57">
        <f t="shared" si="53"/>
        <v>1444630.5588888929</v>
      </c>
      <c r="V167" s="67">
        <f t="shared" si="54"/>
        <v>0</v>
      </c>
      <c r="Y167" s="97">
        <f t="shared" si="68"/>
        <v>0.13</v>
      </c>
      <c r="Z167" s="57">
        <f t="shared" si="55"/>
        <v>9063.8888888888887</v>
      </c>
      <c r="AA167" s="57">
        <f t="shared" si="64"/>
        <v>1352322.2222222246</v>
      </c>
      <c r="AD167" s="11"/>
    </row>
    <row r="168" spans="1:30" hidden="1" outlineLevel="1" x14ac:dyDescent="0.35">
      <c r="A168" s="75" t="str">
        <f t="shared" si="50"/>
        <v>No</v>
      </c>
      <c r="B168" s="75">
        <f t="shared" si="65"/>
        <v>5</v>
      </c>
      <c r="C168" s="76">
        <f t="shared" si="51"/>
        <v>0</v>
      </c>
      <c r="D168" s="77">
        <f t="shared" si="52"/>
        <v>43661</v>
      </c>
      <c r="E168" s="77" t="str">
        <f t="shared" si="56"/>
        <v>No</v>
      </c>
      <c r="F168" s="75">
        <f t="shared" si="57"/>
        <v>2</v>
      </c>
      <c r="G168" s="78">
        <f t="shared" si="58"/>
        <v>0</v>
      </c>
      <c r="H168" s="77">
        <f t="shared" si="66"/>
        <v>43845</v>
      </c>
      <c r="I168" s="77" t="str">
        <f t="shared" si="59"/>
        <v>No</v>
      </c>
      <c r="J168" s="75">
        <f t="shared" si="60"/>
        <v>1</v>
      </c>
      <c r="K168" s="78">
        <f t="shared" si="67"/>
        <v>0</v>
      </c>
      <c r="L168" s="12">
        <v>43628</v>
      </c>
      <c r="M168" s="57">
        <f t="shared" si="61"/>
        <v>25100000</v>
      </c>
      <c r="Q168" s="10">
        <f t="shared" si="48"/>
        <v>0.13</v>
      </c>
      <c r="R168" s="10">
        <f t="shared" si="47"/>
        <v>0</v>
      </c>
      <c r="S168" s="60">
        <f t="shared" si="62"/>
        <v>0.13</v>
      </c>
      <c r="T168" s="57">
        <f t="shared" si="63"/>
        <v>9063.8888888888887</v>
      </c>
      <c r="U168" s="57">
        <f t="shared" si="53"/>
        <v>1453694.4477777819</v>
      </c>
      <c r="V168" s="67">
        <f t="shared" si="54"/>
        <v>0</v>
      </c>
      <c r="Y168" s="97">
        <f t="shared" si="68"/>
        <v>0.13</v>
      </c>
      <c r="Z168" s="57">
        <f t="shared" si="55"/>
        <v>9063.8888888888887</v>
      </c>
      <c r="AA168" s="57">
        <f t="shared" si="64"/>
        <v>1361386.1111111136</v>
      </c>
      <c r="AD168" s="11"/>
    </row>
    <row r="169" spans="1:30" hidden="1" outlineLevel="1" x14ac:dyDescent="0.35">
      <c r="A169" s="75" t="str">
        <f t="shared" si="50"/>
        <v>No</v>
      </c>
      <c r="B169" s="75">
        <f t="shared" si="65"/>
        <v>5</v>
      </c>
      <c r="C169" s="76">
        <f t="shared" si="51"/>
        <v>0</v>
      </c>
      <c r="D169" s="77">
        <f t="shared" si="52"/>
        <v>43661</v>
      </c>
      <c r="E169" s="77" t="str">
        <f t="shared" si="56"/>
        <v>No</v>
      </c>
      <c r="F169" s="75">
        <f t="shared" si="57"/>
        <v>2</v>
      </c>
      <c r="G169" s="78">
        <f t="shared" si="58"/>
        <v>0</v>
      </c>
      <c r="H169" s="77">
        <f t="shared" si="66"/>
        <v>43845</v>
      </c>
      <c r="I169" s="77" t="str">
        <f t="shared" si="59"/>
        <v>No</v>
      </c>
      <c r="J169" s="75">
        <f t="shared" si="60"/>
        <v>1</v>
      </c>
      <c r="K169" s="78">
        <f t="shared" si="67"/>
        <v>0</v>
      </c>
      <c r="L169" s="12">
        <v>43629</v>
      </c>
      <c r="M169" s="57">
        <f t="shared" si="61"/>
        <v>25100000</v>
      </c>
      <c r="Q169" s="10">
        <f t="shared" si="48"/>
        <v>0.13</v>
      </c>
      <c r="R169" s="10">
        <f t="shared" si="47"/>
        <v>0</v>
      </c>
      <c r="S169" s="60">
        <f t="shared" si="62"/>
        <v>0.13</v>
      </c>
      <c r="T169" s="57">
        <f t="shared" si="63"/>
        <v>9063.8888888888887</v>
      </c>
      <c r="U169" s="57">
        <f t="shared" si="53"/>
        <v>1462758.3366666709</v>
      </c>
      <c r="V169" s="67">
        <f t="shared" si="54"/>
        <v>0</v>
      </c>
      <c r="Y169" s="97">
        <f t="shared" si="68"/>
        <v>0.13</v>
      </c>
      <c r="Z169" s="57">
        <f t="shared" si="55"/>
        <v>9063.8888888888887</v>
      </c>
      <c r="AA169" s="57">
        <f t="shared" si="64"/>
        <v>1370450.0000000026</v>
      </c>
      <c r="AD169" s="11"/>
    </row>
    <row r="170" spans="1:30" hidden="1" outlineLevel="1" x14ac:dyDescent="0.35">
      <c r="A170" s="75" t="str">
        <f t="shared" si="50"/>
        <v>No</v>
      </c>
      <c r="B170" s="75">
        <f t="shared" si="65"/>
        <v>5</v>
      </c>
      <c r="C170" s="76">
        <f t="shared" si="51"/>
        <v>0</v>
      </c>
      <c r="D170" s="77">
        <f t="shared" si="52"/>
        <v>43661</v>
      </c>
      <c r="E170" s="77" t="str">
        <f t="shared" si="56"/>
        <v>No</v>
      </c>
      <c r="F170" s="75">
        <f t="shared" si="57"/>
        <v>2</v>
      </c>
      <c r="G170" s="78">
        <f t="shared" si="58"/>
        <v>0</v>
      </c>
      <c r="H170" s="77">
        <f t="shared" si="66"/>
        <v>43845</v>
      </c>
      <c r="I170" s="77" t="str">
        <f t="shared" si="59"/>
        <v>No</v>
      </c>
      <c r="J170" s="75">
        <f t="shared" si="60"/>
        <v>1</v>
      </c>
      <c r="K170" s="78">
        <f t="shared" si="67"/>
        <v>0</v>
      </c>
      <c r="L170" s="12">
        <v>43630</v>
      </c>
      <c r="M170" s="57">
        <f t="shared" si="61"/>
        <v>25100000</v>
      </c>
      <c r="Q170" s="10">
        <f t="shared" si="48"/>
        <v>0.13</v>
      </c>
      <c r="R170" s="10">
        <f t="shared" si="47"/>
        <v>0</v>
      </c>
      <c r="S170" s="60">
        <f t="shared" si="62"/>
        <v>0.13</v>
      </c>
      <c r="T170" s="57">
        <f t="shared" si="63"/>
        <v>9063.8888888888887</v>
      </c>
      <c r="U170" s="57">
        <f t="shared" si="53"/>
        <v>1471822.2255555599</v>
      </c>
      <c r="V170" s="67">
        <f t="shared" si="54"/>
        <v>0</v>
      </c>
      <c r="Y170" s="97">
        <f t="shared" si="68"/>
        <v>0.13</v>
      </c>
      <c r="Z170" s="57">
        <f t="shared" si="55"/>
        <v>9063.8888888888887</v>
      </c>
      <c r="AA170" s="57">
        <f t="shared" si="64"/>
        <v>1379513.8888888916</v>
      </c>
      <c r="AD170" s="11"/>
    </row>
    <row r="171" spans="1:30" hidden="1" outlineLevel="1" x14ac:dyDescent="0.35">
      <c r="A171" s="75" t="str">
        <f t="shared" si="50"/>
        <v>Yes</v>
      </c>
      <c r="B171" s="75">
        <f t="shared" si="65"/>
        <v>6</v>
      </c>
      <c r="C171" s="76">
        <f t="shared" si="51"/>
        <v>280980.55555555539</v>
      </c>
      <c r="D171" s="77">
        <f t="shared" si="52"/>
        <v>43661</v>
      </c>
      <c r="E171" s="77" t="str">
        <f t="shared" si="56"/>
        <v>No</v>
      </c>
      <c r="F171" s="75">
        <f t="shared" si="57"/>
        <v>2</v>
      </c>
      <c r="G171" s="78">
        <f t="shared" si="58"/>
        <v>0</v>
      </c>
      <c r="H171" s="77">
        <f t="shared" si="66"/>
        <v>43845</v>
      </c>
      <c r="I171" s="77" t="str">
        <f t="shared" si="59"/>
        <v>No</v>
      </c>
      <c r="J171" s="75">
        <f t="shared" si="60"/>
        <v>1</v>
      </c>
      <c r="K171" s="78">
        <f t="shared" si="67"/>
        <v>0</v>
      </c>
      <c r="L171" s="12">
        <v>43631</v>
      </c>
      <c r="M171" s="57">
        <f t="shared" si="61"/>
        <v>25100000</v>
      </c>
      <c r="Q171" s="10">
        <f t="shared" si="48"/>
        <v>0.13</v>
      </c>
      <c r="R171" s="10">
        <f t="shared" si="47"/>
        <v>0</v>
      </c>
      <c r="S171" s="60">
        <f t="shared" si="62"/>
        <v>0.13</v>
      </c>
      <c r="T171" s="57">
        <f t="shared" si="63"/>
        <v>9063.8888888888887</v>
      </c>
      <c r="U171" s="57">
        <f t="shared" si="53"/>
        <v>1480886.1144444488</v>
      </c>
      <c r="V171" s="67">
        <f t="shared" si="54"/>
        <v>280980.55555555539</v>
      </c>
      <c r="Y171" s="97">
        <f t="shared" si="68"/>
        <v>0.13</v>
      </c>
      <c r="Z171" s="57">
        <f t="shared" si="55"/>
        <v>9063.8888888888887</v>
      </c>
      <c r="AA171" s="57">
        <f t="shared" si="64"/>
        <v>1388577.7777777805</v>
      </c>
      <c r="AD171" s="11"/>
    </row>
    <row r="172" spans="1:30" hidden="1" outlineLevel="1" x14ac:dyDescent="0.35">
      <c r="A172" s="75" t="str">
        <f t="shared" si="50"/>
        <v>No</v>
      </c>
      <c r="B172" s="75">
        <f t="shared" si="65"/>
        <v>6</v>
      </c>
      <c r="C172" s="76">
        <f t="shared" si="51"/>
        <v>0</v>
      </c>
      <c r="D172" s="77">
        <f t="shared" si="52"/>
        <v>43661</v>
      </c>
      <c r="E172" s="77" t="str">
        <f t="shared" si="56"/>
        <v>No</v>
      </c>
      <c r="F172" s="75">
        <f t="shared" si="57"/>
        <v>2</v>
      </c>
      <c r="G172" s="78">
        <f t="shared" si="58"/>
        <v>0</v>
      </c>
      <c r="H172" s="77">
        <f t="shared" si="66"/>
        <v>43845</v>
      </c>
      <c r="I172" s="77" t="str">
        <f t="shared" si="59"/>
        <v>No</v>
      </c>
      <c r="J172" s="75">
        <f t="shared" si="60"/>
        <v>1</v>
      </c>
      <c r="K172" s="78">
        <f t="shared" si="67"/>
        <v>0</v>
      </c>
      <c r="L172" s="12">
        <v>43632</v>
      </c>
      <c r="M172" s="57">
        <f t="shared" si="61"/>
        <v>25100000</v>
      </c>
      <c r="Q172" s="10">
        <f t="shared" si="48"/>
        <v>0.13</v>
      </c>
      <c r="R172" s="10">
        <f t="shared" si="47"/>
        <v>0</v>
      </c>
      <c r="S172" s="60">
        <f t="shared" si="62"/>
        <v>0.13</v>
      </c>
      <c r="T172" s="57">
        <f t="shared" si="63"/>
        <v>9063.8888888888887</v>
      </c>
      <c r="U172" s="57">
        <f t="shared" si="53"/>
        <v>1489950.0033333378</v>
      </c>
      <c r="V172" s="67">
        <f t="shared" si="54"/>
        <v>0</v>
      </c>
      <c r="Y172" s="97">
        <f t="shared" si="68"/>
        <v>0.13</v>
      </c>
      <c r="Z172" s="57">
        <f t="shared" si="55"/>
        <v>9063.8888888888887</v>
      </c>
      <c r="AA172" s="57">
        <f t="shared" si="64"/>
        <v>1397641.6666666695</v>
      </c>
      <c r="AD172" s="11"/>
    </row>
    <row r="173" spans="1:30" hidden="1" outlineLevel="1" x14ac:dyDescent="0.35">
      <c r="A173" s="75" t="str">
        <f t="shared" si="50"/>
        <v>No</v>
      </c>
      <c r="B173" s="75">
        <f t="shared" si="65"/>
        <v>6</v>
      </c>
      <c r="C173" s="76">
        <f t="shared" si="51"/>
        <v>0</v>
      </c>
      <c r="D173" s="77">
        <f t="shared" si="52"/>
        <v>43661</v>
      </c>
      <c r="E173" s="77" t="str">
        <f t="shared" si="56"/>
        <v>No</v>
      </c>
      <c r="F173" s="75">
        <f t="shared" si="57"/>
        <v>2</v>
      </c>
      <c r="G173" s="78">
        <f t="shared" si="58"/>
        <v>0</v>
      </c>
      <c r="H173" s="77">
        <f t="shared" si="66"/>
        <v>43845</v>
      </c>
      <c r="I173" s="77" t="str">
        <f t="shared" si="59"/>
        <v>No</v>
      </c>
      <c r="J173" s="75">
        <f t="shared" si="60"/>
        <v>1</v>
      </c>
      <c r="K173" s="78">
        <f t="shared" si="67"/>
        <v>0</v>
      </c>
      <c r="L173" s="12">
        <v>43633</v>
      </c>
      <c r="M173" s="57">
        <f t="shared" si="61"/>
        <v>25100000</v>
      </c>
      <c r="Q173" s="10">
        <f t="shared" si="48"/>
        <v>0.13</v>
      </c>
      <c r="R173" s="10">
        <f t="shared" si="47"/>
        <v>0</v>
      </c>
      <c r="S173" s="60">
        <f t="shared" si="62"/>
        <v>0.13</v>
      </c>
      <c r="T173" s="57">
        <f t="shared" si="63"/>
        <v>9063.8888888888887</v>
      </c>
      <c r="U173" s="57">
        <f t="shared" si="53"/>
        <v>1499013.8922222268</v>
      </c>
      <c r="V173" s="67">
        <f t="shared" si="54"/>
        <v>0</v>
      </c>
      <c r="Y173" s="97">
        <f t="shared" si="68"/>
        <v>0.13</v>
      </c>
      <c r="Z173" s="57">
        <f t="shared" si="55"/>
        <v>9063.8888888888887</v>
      </c>
      <c r="AA173" s="57">
        <f t="shared" si="64"/>
        <v>1406705.5555555585</v>
      </c>
      <c r="AD173" s="11"/>
    </row>
    <row r="174" spans="1:30" hidden="1" outlineLevel="1" x14ac:dyDescent="0.35">
      <c r="A174" s="75" t="str">
        <f t="shared" si="50"/>
        <v>No</v>
      </c>
      <c r="B174" s="75">
        <f t="shared" si="65"/>
        <v>6</v>
      </c>
      <c r="C174" s="76">
        <f t="shared" si="51"/>
        <v>0</v>
      </c>
      <c r="D174" s="77">
        <f t="shared" si="52"/>
        <v>43661</v>
      </c>
      <c r="E174" s="77" t="str">
        <f t="shared" si="56"/>
        <v>No</v>
      </c>
      <c r="F174" s="75">
        <f t="shared" si="57"/>
        <v>2</v>
      </c>
      <c r="G174" s="78">
        <f t="shared" si="58"/>
        <v>0</v>
      </c>
      <c r="H174" s="77">
        <f t="shared" si="66"/>
        <v>43845</v>
      </c>
      <c r="I174" s="77" t="str">
        <f t="shared" si="59"/>
        <v>No</v>
      </c>
      <c r="J174" s="75">
        <f t="shared" si="60"/>
        <v>1</v>
      </c>
      <c r="K174" s="78">
        <f t="shared" si="67"/>
        <v>0</v>
      </c>
      <c r="L174" s="12">
        <v>43634</v>
      </c>
      <c r="M174" s="57">
        <f t="shared" si="61"/>
        <v>25100000</v>
      </c>
      <c r="Q174" s="10">
        <f t="shared" si="48"/>
        <v>0.13</v>
      </c>
      <c r="R174" s="10">
        <f t="shared" si="47"/>
        <v>0</v>
      </c>
      <c r="S174" s="60">
        <f t="shared" si="62"/>
        <v>0.13</v>
      </c>
      <c r="T174" s="57">
        <f t="shared" si="63"/>
        <v>9063.8888888888887</v>
      </c>
      <c r="U174" s="57">
        <f t="shared" si="53"/>
        <v>1508077.7811111158</v>
      </c>
      <c r="V174" s="67">
        <f t="shared" si="54"/>
        <v>0</v>
      </c>
      <c r="Y174" s="97">
        <f t="shared" si="68"/>
        <v>0.13</v>
      </c>
      <c r="Z174" s="57">
        <f t="shared" si="55"/>
        <v>9063.8888888888887</v>
      </c>
      <c r="AA174" s="57">
        <f t="shared" si="64"/>
        <v>1415769.4444444475</v>
      </c>
      <c r="AD174" s="11"/>
    </row>
    <row r="175" spans="1:30" hidden="1" outlineLevel="1" x14ac:dyDescent="0.35">
      <c r="A175" s="75" t="str">
        <f t="shared" si="50"/>
        <v>No</v>
      </c>
      <c r="B175" s="75">
        <f t="shared" si="65"/>
        <v>6</v>
      </c>
      <c r="C175" s="76">
        <f t="shared" si="51"/>
        <v>0</v>
      </c>
      <c r="D175" s="77">
        <f t="shared" si="52"/>
        <v>43661</v>
      </c>
      <c r="E175" s="77" t="str">
        <f t="shared" si="56"/>
        <v>No</v>
      </c>
      <c r="F175" s="75">
        <f t="shared" si="57"/>
        <v>2</v>
      </c>
      <c r="G175" s="78">
        <f t="shared" si="58"/>
        <v>0</v>
      </c>
      <c r="H175" s="77">
        <f t="shared" si="66"/>
        <v>43845</v>
      </c>
      <c r="I175" s="77" t="str">
        <f t="shared" si="59"/>
        <v>No</v>
      </c>
      <c r="J175" s="75">
        <f t="shared" si="60"/>
        <v>1</v>
      </c>
      <c r="K175" s="78">
        <f t="shared" si="67"/>
        <v>0</v>
      </c>
      <c r="L175" s="12">
        <v>43635</v>
      </c>
      <c r="M175" s="57">
        <f t="shared" si="61"/>
        <v>25100000</v>
      </c>
      <c r="Q175" s="10">
        <f t="shared" si="48"/>
        <v>0.13</v>
      </c>
      <c r="R175" s="10">
        <f t="shared" si="47"/>
        <v>0</v>
      </c>
      <c r="S175" s="60">
        <f t="shared" si="62"/>
        <v>0.13</v>
      </c>
      <c r="T175" s="57">
        <f t="shared" si="63"/>
        <v>9063.8888888888887</v>
      </c>
      <c r="U175" s="57">
        <f t="shared" si="53"/>
        <v>1517141.6700000048</v>
      </c>
      <c r="V175" s="67">
        <f t="shared" si="54"/>
        <v>0</v>
      </c>
      <c r="Y175" s="97">
        <f t="shared" si="68"/>
        <v>0.13</v>
      </c>
      <c r="Z175" s="57">
        <f t="shared" si="55"/>
        <v>9063.8888888888887</v>
      </c>
      <c r="AA175" s="57">
        <f t="shared" si="64"/>
        <v>1424833.3333333365</v>
      </c>
      <c r="AD175" s="11"/>
    </row>
    <row r="176" spans="1:30" hidden="1" outlineLevel="1" x14ac:dyDescent="0.35">
      <c r="A176" s="75" t="str">
        <f t="shared" si="50"/>
        <v>No</v>
      </c>
      <c r="B176" s="75">
        <f t="shared" si="65"/>
        <v>6</v>
      </c>
      <c r="C176" s="76">
        <f t="shared" si="51"/>
        <v>0</v>
      </c>
      <c r="D176" s="77">
        <f t="shared" si="52"/>
        <v>43661</v>
      </c>
      <c r="E176" s="77" t="str">
        <f t="shared" si="56"/>
        <v>No</v>
      </c>
      <c r="F176" s="75">
        <f t="shared" si="57"/>
        <v>2</v>
      </c>
      <c r="G176" s="78">
        <f t="shared" si="58"/>
        <v>0</v>
      </c>
      <c r="H176" s="77">
        <f t="shared" si="66"/>
        <v>43845</v>
      </c>
      <c r="I176" s="77" t="str">
        <f t="shared" si="59"/>
        <v>No</v>
      </c>
      <c r="J176" s="75">
        <f t="shared" si="60"/>
        <v>1</v>
      </c>
      <c r="K176" s="78">
        <f t="shared" si="67"/>
        <v>0</v>
      </c>
      <c r="L176" s="12">
        <v>43636</v>
      </c>
      <c r="M176" s="57">
        <f t="shared" si="61"/>
        <v>25100000</v>
      </c>
      <c r="Q176" s="10">
        <f t="shared" si="48"/>
        <v>0.13</v>
      </c>
      <c r="R176" s="10">
        <f t="shared" si="47"/>
        <v>0</v>
      </c>
      <c r="S176" s="60">
        <f t="shared" si="62"/>
        <v>0.13</v>
      </c>
      <c r="T176" s="57">
        <f t="shared" si="63"/>
        <v>9063.8888888888887</v>
      </c>
      <c r="U176" s="57">
        <f t="shared" si="53"/>
        <v>1526205.5588888938</v>
      </c>
      <c r="V176" s="67">
        <f t="shared" si="54"/>
        <v>0</v>
      </c>
      <c r="Y176" s="97">
        <f t="shared" si="68"/>
        <v>0.13</v>
      </c>
      <c r="Z176" s="57">
        <f t="shared" si="55"/>
        <v>9063.8888888888887</v>
      </c>
      <c r="AA176" s="57">
        <f t="shared" si="64"/>
        <v>1433897.2222222255</v>
      </c>
      <c r="AD176" s="11"/>
    </row>
    <row r="177" spans="1:30" hidden="1" outlineLevel="1" x14ac:dyDescent="0.35">
      <c r="A177" s="75" t="str">
        <f t="shared" si="50"/>
        <v>No</v>
      </c>
      <c r="B177" s="75">
        <f t="shared" si="65"/>
        <v>6</v>
      </c>
      <c r="C177" s="76">
        <f t="shared" si="51"/>
        <v>0</v>
      </c>
      <c r="D177" s="77">
        <f t="shared" si="52"/>
        <v>43661</v>
      </c>
      <c r="E177" s="77" t="str">
        <f t="shared" si="56"/>
        <v>No</v>
      </c>
      <c r="F177" s="75">
        <f t="shared" si="57"/>
        <v>2</v>
      </c>
      <c r="G177" s="78">
        <f t="shared" si="58"/>
        <v>0</v>
      </c>
      <c r="H177" s="77">
        <f t="shared" si="66"/>
        <v>43845</v>
      </c>
      <c r="I177" s="77" t="str">
        <f t="shared" si="59"/>
        <v>No</v>
      </c>
      <c r="J177" s="75">
        <f t="shared" si="60"/>
        <v>1</v>
      </c>
      <c r="K177" s="78">
        <f t="shared" si="67"/>
        <v>0</v>
      </c>
      <c r="L177" s="12">
        <v>43637</v>
      </c>
      <c r="M177" s="57">
        <f t="shared" si="61"/>
        <v>25100000</v>
      </c>
      <c r="Q177" s="10">
        <f t="shared" si="48"/>
        <v>0.13</v>
      </c>
      <c r="R177" s="10">
        <f t="shared" si="47"/>
        <v>0</v>
      </c>
      <c r="S177" s="60">
        <f t="shared" si="62"/>
        <v>0.13</v>
      </c>
      <c r="T177" s="57">
        <f t="shared" si="63"/>
        <v>9063.8888888888887</v>
      </c>
      <c r="U177" s="57">
        <f t="shared" si="53"/>
        <v>1535269.4477777828</v>
      </c>
      <c r="V177" s="67">
        <f t="shared" si="54"/>
        <v>0</v>
      </c>
      <c r="Y177" s="97">
        <f t="shared" si="68"/>
        <v>0.13</v>
      </c>
      <c r="Z177" s="57">
        <f t="shared" si="55"/>
        <v>9063.8888888888887</v>
      </c>
      <c r="AA177" s="57">
        <f t="shared" si="64"/>
        <v>1442961.1111111145</v>
      </c>
      <c r="AD177" s="11"/>
    </row>
    <row r="178" spans="1:30" hidden="1" outlineLevel="1" x14ac:dyDescent="0.35">
      <c r="A178" s="75" t="str">
        <f t="shared" si="50"/>
        <v>No</v>
      </c>
      <c r="B178" s="75">
        <f t="shared" si="65"/>
        <v>6</v>
      </c>
      <c r="C178" s="76">
        <f t="shared" si="51"/>
        <v>0</v>
      </c>
      <c r="D178" s="77">
        <f t="shared" si="52"/>
        <v>43661</v>
      </c>
      <c r="E178" s="77" t="str">
        <f t="shared" si="56"/>
        <v>No</v>
      </c>
      <c r="F178" s="75">
        <f t="shared" si="57"/>
        <v>2</v>
      </c>
      <c r="G178" s="78">
        <f t="shared" si="58"/>
        <v>0</v>
      </c>
      <c r="H178" s="77">
        <f t="shared" si="66"/>
        <v>43845</v>
      </c>
      <c r="I178" s="77" t="str">
        <f t="shared" si="59"/>
        <v>No</v>
      </c>
      <c r="J178" s="75">
        <f t="shared" si="60"/>
        <v>1</v>
      </c>
      <c r="K178" s="78">
        <f t="shared" si="67"/>
        <v>0</v>
      </c>
      <c r="L178" s="12">
        <v>43638</v>
      </c>
      <c r="M178" s="57">
        <f t="shared" si="61"/>
        <v>25100000</v>
      </c>
      <c r="Q178" s="10">
        <f t="shared" si="48"/>
        <v>0.13</v>
      </c>
      <c r="R178" s="10">
        <f t="shared" si="47"/>
        <v>0</v>
      </c>
      <c r="S178" s="60">
        <f t="shared" si="62"/>
        <v>0.13</v>
      </c>
      <c r="T178" s="57">
        <f t="shared" si="63"/>
        <v>9063.8888888888887</v>
      </c>
      <c r="U178" s="57">
        <f t="shared" si="53"/>
        <v>1544333.3366666718</v>
      </c>
      <c r="V178" s="67">
        <f t="shared" si="54"/>
        <v>0</v>
      </c>
      <c r="Y178" s="97">
        <f t="shared" si="68"/>
        <v>0.13</v>
      </c>
      <c r="Z178" s="57">
        <f t="shared" si="55"/>
        <v>9063.8888888888887</v>
      </c>
      <c r="AA178" s="57">
        <f t="shared" si="64"/>
        <v>1452025.0000000035</v>
      </c>
      <c r="AD178" s="11"/>
    </row>
    <row r="179" spans="1:30" hidden="1" outlineLevel="1" x14ac:dyDescent="0.35">
      <c r="A179" s="75" t="str">
        <f t="shared" si="50"/>
        <v>No</v>
      </c>
      <c r="B179" s="75">
        <f t="shared" si="65"/>
        <v>6</v>
      </c>
      <c r="C179" s="76">
        <f t="shared" si="51"/>
        <v>0</v>
      </c>
      <c r="D179" s="77">
        <f t="shared" si="52"/>
        <v>43661</v>
      </c>
      <c r="E179" s="77" t="str">
        <f t="shared" si="56"/>
        <v>No</v>
      </c>
      <c r="F179" s="75">
        <f t="shared" si="57"/>
        <v>2</v>
      </c>
      <c r="G179" s="78">
        <f t="shared" si="58"/>
        <v>0</v>
      </c>
      <c r="H179" s="77">
        <f t="shared" si="66"/>
        <v>43845</v>
      </c>
      <c r="I179" s="77" t="str">
        <f t="shared" si="59"/>
        <v>No</v>
      </c>
      <c r="J179" s="75">
        <f t="shared" si="60"/>
        <v>1</v>
      </c>
      <c r="K179" s="78">
        <f t="shared" si="67"/>
        <v>0</v>
      </c>
      <c r="L179" s="12">
        <v>43639</v>
      </c>
      <c r="M179" s="57">
        <f t="shared" si="61"/>
        <v>25100000</v>
      </c>
      <c r="Q179" s="10">
        <f t="shared" si="48"/>
        <v>0.13</v>
      </c>
      <c r="R179" s="10">
        <f t="shared" si="47"/>
        <v>0</v>
      </c>
      <c r="S179" s="60">
        <f t="shared" si="62"/>
        <v>0.13</v>
      </c>
      <c r="T179" s="57">
        <f t="shared" si="63"/>
        <v>9063.8888888888887</v>
      </c>
      <c r="U179" s="57">
        <f t="shared" si="53"/>
        <v>1553397.2255555608</v>
      </c>
      <c r="V179" s="67">
        <f t="shared" si="54"/>
        <v>0</v>
      </c>
      <c r="Y179" s="97">
        <f t="shared" si="68"/>
        <v>0.13</v>
      </c>
      <c r="Z179" s="57">
        <f t="shared" si="55"/>
        <v>9063.8888888888887</v>
      </c>
      <c r="AA179" s="57">
        <f t="shared" si="64"/>
        <v>1461088.8888888925</v>
      </c>
      <c r="AD179" s="11"/>
    </row>
    <row r="180" spans="1:30" hidden="1" outlineLevel="1" x14ac:dyDescent="0.35">
      <c r="A180" s="75" t="str">
        <f t="shared" si="50"/>
        <v>No</v>
      </c>
      <c r="B180" s="75">
        <f t="shared" si="65"/>
        <v>6</v>
      </c>
      <c r="C180" s="76">
        <f t="shared" si="51"/>
        <v>0</v>
      </c>
      <c r="D180" s="77">
        <f t="shared" si="52"/>
        <v>43661</v>
      </c>
      <c r="E180" s="77" t="str">
        <f t="shared" si="56"/>
        <v>No</v>
      </c>
      <c r="F180" s="75">
        <f t="shared" si="57"/>
        <v>2</v>
      </c>
      <c r="G180" s="78">
        <f t="shared" si="58"/>
        <v>0</v>
      </c>
      <c r="H180" s="77">
        <f t="shared" si="66"/>
        <v>43845</v>
      </c>
      <c r="I180" s="77" t="str">
        <f t="shared" si="59"/>
        <v>No</v>
      </c>
      <c r="J180" s="75">
        <f t="shared" si="60"/>
        <v>1</v>
      </c>
      <c r="K180" s="78">
        <f t="shared" si="67"/>
        <v>0</v>
      </c>
      <c r="L180" s="12">
        <v>43640</v>
      </c>
      <c r="M180" s="57">
        <f t="shared" si="61"/>
        <v>25100000</v>
      </c>
      <c r="Q180" s="10">
        <f t="shared" si="48"/>
        <v>0.13</v>
      </c>
      <c r="R180" s="10">
        <f t="shared" si="47"/>
        <v>0</v>
      </c>
      <c r="S180" s="60">
        <f t="shared" si="62"/>
        <v>0.13</v>
      </c>
      <c r="T180" s="57">
        <f t="shared" si="63"/>
        <v>9063.8888888888887</v>
      </c>
      <c r="U180" s="57">
        <f t="shared" si="53"/>
        <v>1562461.1144444498</v>
      </c>
      <c r="V180" s="67">
        <f t="shared" si="54"/>
        <v>0</v>
      </c>
      <c r="Y180" s="97">
        <f t="shared" si="68"/>
        <v>0.13</v>
      </c>
      <c r="Z180" s="57">
        <f t="shared" si="55"/>
        <v>9063.8888888888887</v>
      </c>
      <c r="AA180" s="57">
        <f t="shared" si="64"/>
        <v>1470152.7777777815</v>
      </c>
      <c r="AD180" s="11"/>
    </row>
    <row r="181" spans="1:30" hidden="1" outlineLevel="1" x14ac:dyDescent="0.35">
      <c r="A181" s="75" t="str">
        <f t="shared" si="50"/>
        <v>No</v>
      </c>
      <c r="B181" s="75">
        <f t="shared" si="65"/>
        <v>6</v>
      </c>
      <c r="C181" s="76">
        <f t="shared" si="51"/>
        <v>0</v>
      </c>
      <c r="D181" s="77">
        <f t="shared" si="52"/>
        <v>43661</v>
      </c>
      <c r="E181" s="77" t="str">
        <f t="shared" si="56"/>
        <v>No</v>
      </c>
      <c r="F181" s="75">
        <f t="shared" si="57"/>
        <v>2</v>
      </c>
      <c r="G181" s="78">
        <f t="shared" si="58"/>
        <v>0</v>
      </c>
      <c r="H181" s="77">
        <f t="shared" si="66"/>
        <v>43845</v>
      </c>
      <c r="I181" s="77" t="str">
        <f t="shared" si="59"/>
        <v>No</v>
      </c>
      <c r="J181" s="75">
        <f t="shared" si="60"/>
        <v>1</v>
      </c>
      <c r="K181" s="78">
        <f t="shared" si="67"/>
        <v>0</v>
      </c>
      <c r="L181" s="12">
        <v>43641</v>
      </c>
      <c r="M181" s="57">
        <f t="shared" si="61"/>
        <v>25100000</v>
      </c>
      <c r="Q181" s="10">
        <f t="shared" si="48"/>
        <v>0.13</v>
      </c>
      <c r="R181" s="10">
        <f t="shared" si="47"/>
        <v>0</v>
      </c>
      <c r="S181" s="60">
        <f t="shared" si="62"/>
        <v>0.13</v>
      </c>
      <c r="T181" s="57">
        <f t="shared" si="63"/>
        <v>9063.8888888888887</v>
      </c>
      <c r="U181" s="57">
        <f t="shared" si="53"/>
        <v>1571525.0033333388</v>
      </c>
      <c r="V181" s="67">
        <f t="shared" si="54"/>
        <v>0</v>
      </c>
      <c r="Y181" s="97">
        <f t="shared" si="68"/>
        <v>0.13</v>
      </c>
      <c r="Z181" s="57">
        <f t="shared" si="55"/>
        <v>9063.8888888888887</v>
      </c>
      <c r="AA181" s="57">
        <f t="shared" si="64"/>
        <v>1479216.6666666705</v>
      </c>
      <c r="AD181" s="11"/>
    </row>
    <row r="182" spans="1:30" hidden="1" outlineLevel="1" x14ac:dyDescent="0.35">
      <c r="A182" s="75" t="str">
        <f t="shared" si="50"/>
        <v>No</v>
      </c>
      <c r="B182" s="75">
        <f t="shared" si="65"/>
        <v>6</v>
      </c>
      <c r="C182" s="76">
        <f t="shared" si="51"/>
        <v>0</v>
      </c>
      <c r="D182" s="77">
        <f t="shared" si="52"/>
        <v>43661</v>
      </c>
      <c r="E182" s="77" t="str">
        <f t="shared" si="56"/>
        <v>No</v>
      </c>
      <c r="F182" s="75">
        <f t="shared" si="57"/>
        <v>2</v>
      </c>
      <c r="G182" s="78">
        <f t="shared" si="58"/>
        <v>0</v>
      </c>
      <c r="H182" s="77">
        <f t="shared" si="66"/>
        <v>43845</v>
      </c>
      <c r="I182" s="77" t="str">
        <f t="shared" si="59"/>
        <v>No</v>
      </c>
      <c r="J182" s="75">
        <f t="shared" si="60"/>
        <v>1</v>
      </c>
      <c r="K182" s="78">
        <f t="shared" si="67"/>
        <v>0</v>
      </c>
      <c r="L182" s="12">
        <v>43642</v>
      </c>
      <c r="M182" s="57">
        <f t="shared" si="61"/>
        <v>25100000</v>
      </c>
      <c r="Q182" s="10">
        <f t="shared" si="48"/>
        <v>0.13</v>
      </c>
      <c r="R182" s="10">
        <f t="shared" si="47"/>
        <v>0</v>
      </c>
      <c r="S182" s="60">
        <f t="shared" si="62"/>
        <v>0.13</v>
      </c>
      <c r="T182" s="57">
        <f t="shared" si="63"/>
        <v>9063.8888888888887</v>
      </c>
      <c r="U182" s="57">
        <f t="shared" si="53"/>
        <v>1580588.8922222278</v>
      </c>
      <c r="V182" s="67">
        <f t="shared" si="54"/>
        <v>0</v>
      </c>
      <c r="Y182" s="97">
        <f t="shared" si="68"/>
        <v>0.13</v>
      </c>
      <c r="Z182" s="57">
        <f t="shared" si="55"/>
        <v>9063.8888888888887</v>
      </c>
      <c r="AA182" s="57">
        <f t="shared" si="64"/>
        <v>1488280.5555555595</v>
      </c>
      <c r="AD182" s="11"/>
    </row>
    <row r="183" spans="1:30" hidden="1" outlineLevel="1" x14ac:dyDescent="0.35">
      <c r="A183" s="75" t="str">
        <f t="shared" si="50"/>
        <v>No</v>
      </c>
      <c r="B183" s="75">
        <f t="shared" si="65"/>
        <v>6</v>
      </c>
      <c r="C183" s="76">
        <f t="shared" si="51"/>
        <v>0</v>
      </c>
      <c r="D183" s="77">
        <f t="shared" si="52"/>
        <v>43661</v>
      </c>
      <c r="E183" s="77" t="str">
        <f t="shared" si="56"/>
        <v>No</v>
      </c>
      <c r="F183" s="75">
        <f t="shared" si="57"/>
        <v>2</v>
      </c>
      <c r="G183" s="78">
        <f t="shared" si="58"/>
        <v>0</v>
      </c>
      <c r="H183" s="77">
        <f t="shared" si="66"/>
        <v>43845</v>
      </c>
      <c r="I183" s="77" t="str">
        <f t="shared" si="59"/>
        <v>No</v>
      </c>
      <c r="J183" s="75">
        <f t="shared" si="60"/>
        <v>1</v>
      </c>
      <c r="K183" s="78">
        <f t="shared" si="67"/>
        <v>0</v>
      </c>
      <c r="L183" s="12">
        <v>43643</v>
      </c>
      <c r="M183" s="57">
        <f t="shared" si="61"/>
        <v>25100000</v>
      </c>
      <c r="Q183" s="10">
        <f t="shared" si="48"/>
        <v>0.13</v>
      </c>
      <c r="R183" s="10">
        <f t="shared" si="47"/>
        <v>0</v>
      </c>
      <c r="S183" s="60">
        <f t="shared" si="62"/>
        <v>0.13</v>
      </c>
      <c r="T183" s="57">
        <f t="shared" si="63"/>
        <v>9063.8888888888887</v>
      </c>
      <c r="U183" s="57">
        <f t="shared" si="53"/>
        <v>1589652.7811111168</v>
      </c>
      <c r="V183" s="67">
        <f t="shared" si="54"/>
        <v>0</v>
      </c>
      <c r="Y183" s="97">
        <f t="shared" si="68"/>
        <v>0.13</v>
      </c>
      <c r="Z183" s="57">
        <f t="shared" si="55"/>
        <v>9063.8888888888887</v>
      </c>
      <c r="AA183" s="57">
        <f t="shared" si="64"/>
        <v>1497344.4444444485</v>
      </c>
      <c r="AD183" s="11"/>
    </row>
    <row r="184" spans="1:30" hidden="1" outlineLevel="1" x14ac:dyDescent="0.35">
      <c r="A184" s="75" t="str">
        <f t="shared" si="50"/>
        <v>No</v>
      </c>
      <c r="B184" s="75">
        <f t="shared" si="65"/>
        <v>6</v>
      </c>
      <c r="C184" s="76">
        <f t="shared" si="51"/>
        <v>0</v>
      </c>
      <c r="D184" s="77">
        <f t="shared" si="52"/>
        <v>43661</v>
      </c>
      <c r="E184" s="77" t="str">
        <f t="shared" si="56"/>
        <v>No</v>
      </c>
      <c r="F184" s="75">
        <f t="shared" si="57"/>
        <v>2</v>
      </c>
      <c r="G184" s="78">
        <f t="shared" si="58"/>
        <v>0</v>
      </c>
      <c r="H184" s="77">
        <f t="shared" si="66"/>
        <v>43845</v>
      </c>
      <c r="I184" s="77" t="str">
        <f t="shared" si="59"/>
        <v>No</v>
      </c>
      <c r="J184" s="75">
        <f t="shared" si="60"/>
        <v>1</v>
      </c>
      <c r="K184" s="78">
        <f t="shared" si="67"/>
        <v>0</v>
      </c>
      <c r="L184" s="12">
        <v>43644</v>
      </c>
      <c r="M184" s="57">
        <f t="shared" si="61"/>
        <v>25100000</v>
      </c>
      <c r="Q184" s="10">
        <f t="shared" si="48"/>
        <v>0.13</v>
      </c>
      <c r="R184" s="10">
        <f t="shared" ref="R184:R247" si="69">R183</f>
        <v>0</v>
      </c>
      <c r="S184" s="60">
        <f t="shared" si="62"/>
        <v>0.13</v>
      </c>
      <c r="T184" s="57">
        <f t="shared" si="63"/>
        <v>9063.8888888888887</v>
      </c>
      <c r="U184" s="57">
        <f t="shared" si="53"/>
        <v>1598716.6700000057</v>
      </c>
      <c r="V184" s="67">
        <f t="shared" si="54"/>
        <v>0</v>
      </c>
      <c r="Y184" s="97">
        <f t="shared" si="68"/>
        <v>0.13</v>
      </c>
      <c r="Z184" s="57">
        <f t="shared" si="55"/>
        <v>9063.8888888888887</v>
      </c>
      <c r="AA184" s="57">
        <f t="shared" si="64"/>
        <v>1506408.3333333374</v>
      </c>
      <c r="AD184" s="11"/>
    </row>
    <row r="185" spans="1:30" hidden="1" outlineLevel="1" x14ac:dyDescent="0.35">
      <c r="A185" s="75" t="str">
        <f t="shared" si="50"/>
        <v>No</v>
      </c>
      <c r="B185" s="75">
        <f t="shared" si="65"/>
        <v>6</v>
      </c>
      <c r="C185" s="76">
        <f t="shared" si="51"/>
        <v>0</v>
      </c>
      <c r="D185" s="77">
        <f t="shared" si="52"/>
        <v>43661</v>
      </c>
      <c r="E185" s="77" t="str">
        <f t="shared" si="56"/>
        <v>No</v>
      </c>
      <c r="F185" s="75">
        <f t="shared" si="57"/>
        <v>2</v>
      </c>
      <c r="G185" s="78">
        <f t="shared" si="58"/>
        <v>0</v>
      </c>
      <c r="H185" s="77">
        <f t="shared" si="66"/>
        <v>43845</v>
      </c>
      <c r="I185" s="77" t="str">
        <f t="shared" si="59"/>
        <v>No</v>
      </c>
      <c r="J185" s="75">
        <f t="shared" si="60"/>
        <v>1</v>
      </c>
      <c r="K185" s="78">
        <f t="shared" si="67"/>
        <v>0</v>
      </c>
      <c r="L185" s="12">
        <v>43645</v>
      </c>
      <c r="M185" s="57">
        <f t="shared" si="61"/>
        <v>25100000</v>
      </c>
      <c r="Q185" s="10">
        <f t="shared" si="48"/>
        <v>0.13</v>
      </c>
      <c r="R185" s="10">
        <f t="shared" si="69"/>
        <v>0</v>
      </c>
      <c r="S185" s="60">
        <f t="shared" si="62"/>
        <v>0.13</v>
      </c>
      <c r="T185" s="57">
        <f t="shared" si="63"/>
        <v>9063.8888888888887</v>
      </c>
      <c r="U185" s="57">
        <f t="shared" si="53"/>
        <v>1607780.5588888947</v>
      </c>
      <c r="V185" s="67">
        <f t="shared" si="54"/>
        <v>0</v>
      </c>
      <c r="Y185" s="97">
        <f t="shared" si="68"/>
        <v>0.13</v>
      </c>
      <c r="Z185" s="57">
        <f t="shared" si="55"/>
        <v>9063.8888888888887</v>
      </c>
      <c r="AA185" s="57">
        <f t="shared" si="64"/>
        <v>1515472.2222222264</v>
      </c>
      <c r="AD185" s="11"/>
    </row>
    <row r="186" spans="1:30" hidden="1" outlineLevel="1" x14ac:dyDescent="0.35">
      <c r="A186" s="75" t="str">
        <f t="shared" si="50"/>
        <v>No</v>
      </c>
      <c r="B186" s="75">
        <f t="shared" si="65"/>
        <v>6</v>
      </c>
      <c r="C186" s="76">
        <f t="shared" si="51"/>
        <v>0</v>
      </c>
      <c r="D186" s="77">
        <f t="shared" si="52"/>
        <v>43661</v>
      </c>
      <c r="E186" s="77" t="str">
        <f t="shared" si="56"/>
        <v>No</v>
      </c>
      <c r="F186" s="75">
        <f t="shared" si="57"/>
        <v>2</v>
      </c>
      <c r="G186" s="78">
        <f t="shared" si="58"/>
        <v>0</v>
      </c>
      <c r="H186" s="77">
        <f t="shared" si="66"/>
        <v>43845</v>
      </c>
      <c r="I186" s="77" t="str">
        <f t="shared" si="59"/>
        <v>No</v>
      </c>
      <c r="J186" s="75">
        <f t="shared" si="60"/>
        <v>1</v>
      </c>
      <c r="K186" s="78">
        <f t="shared" si="67"/>
        <v>0</v>
      </c>
      <c r="L186" s="12">
        <v>43646</v>
      </c>
      <c r="M186" s="57">
        <f t="shared" si="61"/>
        <v>25100000</v>
      </c>
      <c r="Q186" s="10">
        <f t="shared" si="48"/>
        <v>0.13</v>
      </c>
      <c r="R186" s="10">
        <f t="shared" si="69"/>
        <v>0</v>
      </c>
      <c r="S186" s="60">
        <f t="shared" si="62"/>
        <v>0.13</v>
      </c>
      <c r="T186" s="57">
        <f t="shared" si="63"/>
        <v>9063.8888888888887</v>
      </c>
      <c r="U186" s="57">
        <f t="shared" si="53"/>
        <v>1616844.4477777837</v>
      </c>
      <c r="V186" s="67">
        <f t="shared" si="54"/>
        <v>0</v>
      </c>
      <c r="Y186" s="97">
        <f t="shared" si="68"/>
        <v>0.13</v>
      </c>
      <c r="Z186" s="57">
        <f t="shared" si="55"/>
        <v>9063.8888888888887</v>
      </c>
      <c r="AA186" s="57">
        <f t="shared" si="64"/>
        <v>1524536.1111111154</v>
      </c>
      <c r="AD186" s="11"/>
    </row>
    <row r="187" spans="1:30" hidden="1" outlineLevel="1" x14ac:dyDescent="0.35">
      <c r="A187" s="75" t="str">
        <f t="shared" si="50"/>
        <v>No</v>
      </c>
      <c r="B187" s="75">
        <f t="shared" si="65"/>
        <v>6</v>
      </c>
      <c r="C187" s="76">
        <f t="shared" si="51"/>
        <v>0</v>
      </c>
      <c r="D187" s="77">
        <f t="shared" si="52"/>
        <v>43661</v>
      </c>
      <c r="E187" s="77" t="str">
        <f t="shared" si="56"/>
        <v>No</v>
      </c>
      <c r="F187" s="75">
        <f t="shared" si="57"/>
        <v>2</v>
      </c>
      <c r="G187" s="78">
        <f t="shared" si="58"/>
        <v>0</v>
      </c>
      <c r="H187" s="77">
        <f t="shared" si="66"/>
        <v>43845</v>
      </c>
      <c r="I187" s="77" t="str">
        <f t="shared" si="59"/>
        <v>No</v>
      </c>
      <c r="J187" s="75">
        <f t="shared" si="60"/>
        <v>1</v>
      </c>
      <c r="K187" s="78">
        <f t="shared" si="67"/>
        <v>0</v>
      </c>
      <c r="L187" s="12">
        <v>43647</v>
      </c>
      <c r="M187" s="57">
        <f t="shared" si="61"/>
        <v>25100000</v>
      </c>
      <c r="Q187" s="10">
        <f t="shared" si="48"/>
        <v>0.13</v>
      </c>
      <c r="R187" s="10">
        <f t="shared" si="69"/>
        <v>0</v>
      </c>
      <c r="S187" s="60">
        <f t="shared" si="62"/>
        <v>0.13</v>
      </c>
      <c r="T187" s="57">
        <f t="shared" si="63"/>
        <v>9063.8888888888887</v>
      </c>
      <c r="U187" s="57">
        <f t="shared" si="53"/>
        <v>1625908.3366666727</v>
      </c>
      <c r="V187" s="67">
        <f t="shared" si="54"/>
        <v>0</v>
      </c>
      <c r="Y187" s="97">
        <f t="shared" si="68"/>
        <v>0.13</v>
      </c>
      <c r="Z187" s="57">
        <f t="shared" si="55"/>
        <v>9063.8888888888887</v>
      </c>
      <c r="AA187" s="57">
        <f t="shared" si="64"/>
        <v>1533600.0000000044</v>
      </c>
      <c r="AD187" s="11"/>
    </row>
    <row r="188" spans="1:30" hidden="1" outlineLevel="1" x14ac:dyDescent="0.35">
      <c r="A188" s="75" t="str">
        <f t="shared" si="50"/>
        <v>No</v>
      </c>
      <c r="B188" s="75">
        <f t="shared" si="65"/>
        <v>6</v>
      </c>
      <c r="C188" s="76">
        <f t="shared" si="51"/>
        <v>0</v>
      </c>
      <c r="D188" s="77">
        <f t="shared" si="52"/>
        <v>43661</v>
      </c>
      <c r="E188" s="77" t="str">
        <f t="shared" si="56"/>
        <v>No</v>
      </c>
      <c r="F188" s="75">
        <f t="shared" si="57"/>
        <v>2</v>
      </c>
      <c r="G188" s="78">
        <f t="shared" si="58"/>
        <v>0</v>
      </c>
      <c r="H188" s="77">
        <f t="shared" si="66"/>
        <v>43845</v>
      </c>
      <c r="I188" s="77" t="str">
        <f t="shared" si="59"/>
        <v>No</v>
      </c>
      <c r="J188" s="75">
        <f t="shared" si="60"/>
        <v>1</v>
      </c>
      <c r="K188" s="78">
        <f t="shared" si="67"/>
        <v>0</v>
      </c>
      <c r="L188" s="12">
        <v>43648</v>
      </c>
      <c r="M188" s="57">
        <f t="shared" si="61"/>
        <v>25100000</v>
      </c>
      <c r="Q188" s="10">
        <f t="shared" si="48"/>
        <v>0.13</v>
      </c>
      <c r="R188" s="10">
        <f t="shared" si="69"/>
        <v>0</v>
      </c>
      <c r="S188" s="60">
        <f t="shared" si="62"/>
        <v>0.13</v>
      </c>
      <c r="T188" s="57">
        <f t="shared" si="63"/>
        <v>9063.8888888888887</v>
      </c>
      <c r="U188" s="57">
        <f t="shared" si="53"/>
        <v>1634972.2255555617</v>
      </c>
      <c r="V188" s="67">
        <f t="shared" si="54"/>
        <v>0</v>
      </c>
      <c r="Y188" s="97">
        <f t="shared" si="68"/>
        <v>0.13</v>
      </c>
      <c r="Z188" s="57">
        <f t="shared" si="55"/>
        <v>9063.8888888888887</v>
      </c>
      <c r="AA188" s="57">
        <f t="shared" si="64"/>
        <v>1542663.8888888934</v>
      </c>
      <c r="AD188" s="11"/>
    </row>
    <row r="189" spans="1:30" hidden="1" outlineLevel="1" x14ac:dyDescent="0.35">
      <c r="A189" s="75" t="str">
        <f t="shared" si="50"/>
        <v>No</v>
      </c>
      <c r="B189" s="75">
        <f t="shared" si="65"/>
        <v>6</v>
      </c>
      <c r="C189" s="76">
        <f t="shared" si="51"/>
        <v>0</v>
      </c>
      <c r="D189" s="77">
        <f t="shared" si="52"/>
        <v>43661</v>
      </c>
      <c r="E189" s="77" t="str">
        <f t="shared" si="56"/>
        <v>No</v>
      </c>
      <c r="F189" s="75">
        <f t="shared" si="57"/>
        <v>2</v>
      </c>
      <c r="G189" s="78">
        <f t="shared" si="58"/>
        <v>0</v>
      </c>
      <c r="H189" s="77">
        <f t="shared" si="66"/>
        <v>43845</v>
      </c>
      <c r="I189" s="77" t="str">
        <f t="shared" si="59"/>
        <v>No</v>
      </c>
      <c r="J189" s="75">
        <f t="shared" si="60"/>
        <v>1</v>
      </c>
      <c r="K189" s="78">
        <f t="shared" si="67"/>
        <v>0</v>
      </c>
      <c r="L189" s="12">
        <v>43649</v>
      </c>
      <c r="M189" s="57">
        <f t="shared" si="61"/>
        <v>25100000</v>
      </c>
      <c r="Q189" s="10">
        <f t="shared" si="48"/>
        <v>0.13</v>
      </c>
      <c r="R189" s="10">
        <f t="shared" si="69"/>
        <v>0</v>
      </c>
      <c r="S189" s="60">
        <f t="shared" si="62"/>
        <v>0.13</v>
      </c>
      <c r="T189" s="57">
        <f t="shared" si="63"/>
        <v>9063.8888888888887</v>
      </c>
      <c r="U189" s="57">
        <f t="shared" si="53"/>
        <v>1644036.1144444507</v>
      </c>
      <c r="V189" s="67">
        <f t="shared" si="54"/>
        <v>0</v>
      </c>
      <c r="Y189" s="97">
        <f t="shared" si="68"/>
        <v>0.13</v>
      </c>
      <c r="Z189" s="57">
        <f t="shared" si="55"/>
        <v>9063.8888888888887</v>
      </c>
      <c r="AA189" s="57">
        <f t="shared" si="64"/>
        <v>1551727.7777777824</v>
      </c>
      <c r="AD189" s="11"/>
    </row>
    <row r="190" spans="1:30" hidden="1" outlineLevel="1" x14ac:dyDescent="0.35">
      <c r="A190" s="75" t="str">
        <f t="shared" si="50"/>
        <v>No</v>
      </c>
      <c r="B190" s="75">
        <f t="shared" si="65"/>
        <v>6</v>
      </c>
      <c r="C190" s="76">
        <f t="shared" si="51"/>
        <v>0</v>
      </c>
      <c r="D190" s="77">
        <f t="shared" si="52"/>
        <v>43661</v>
      </c>
      <c r="E190" s="77" t="str">
        <f t="shared" si="56"/>
        <v>No</v>
      </c>
      <c r="F190" s="75">
        <f t="shared" si="57"/>
        <v>2</v>
      </c>
      <c r="G190" s="78">
        <f t="shared" si="58"/>
        <v>0</v>
      </c>
      <c r="H190" s="77">
        <f t="shared" si="66"/>
        <v>43845</v>
      </c>
      <c r="I190" s="77" t="str">
        <f t="shared" si="59"/>
        <v>No</v>
      </c>
      <c r="J190" s="75">
        <f t="shared" si="60"/>
        <v>1</v>
      </c>
      <c r="K190" s="78">
        <f t="shared" si="67"/>
        <v>0</v>
      </c>
      <c r="L190" s="12">
        <v>43650</v>
      </c>
      <c r="M190" s="57">
        <f t="shared" si="61"/>
        <v>25100000</v>
      </c>
      <c r="Q190" s="10">
        <f t="shared" si="48"/>
        <v>0.13</v>
      </c>
      <c r="R190" s="10">
        <f t="shared" si="69"/>
        <v>0</v>
      </c>
      <c r="S190" s="60">
        <f t="shared" si="62"/>
        <v>0.13</v>
      </c>
      <c r="T190" s="57">
        <f t="shared" si="63"/>
        <v>9063.8888888888887</v>
      </c>
      <c r="U190" s="57">
        <f t="shared" si="53"/>
        <v>1653100.0033333397</v>
      </c>
      <c r="V190" s="67">
        <f t="shared" si="54"/>
        <v>0</v>
      </c>
      <c r="Y190" s="97">
        <f t="shared" si="68"/>
        <v>0.13</v>
      </c>
      <c r="Z190" s="57">
        <f t="shared" si="55"/>
        <v>9063.8888888888887</v>
      </c>
      <c r="AA190" s="57">
        <f t="shared" si="64"/>
        <v>1560791.6666666714</v>
      </c>
      <c r="AD190" s="11"/>
    </row>
    <row r="191" spans="1:30" hidden="1" outlineLevel="1" x14ac:dyDescent="0.35">
      <c r="A191" s="75" t="str">
        <f t="shared" si="50"/>
        <v>No</v>
      </c>
      <c r="B191" s="75">
        <f t="shared" si="65"/>
        <v>6</v>
      </c>
      <c r="C191" s="76">
        <f t="shared" si="51"/>
        <v>0</v>
      </c>
      <c r="D191" s="77">
        <f t="shared" si="52"/>
        <v>43661</v>
      </c>
      <c r="E191" s="77" t="str">
        <f t="shared" si="56"/>
        <v>No</v>
      </c>
      <c r="F191" s="75">
        <f t="shared" si="57"/>
        <v>2</v>
      </c>
      <c r="G191" s="78">
        <f t="shared" si="58"/>
        <v>0</v>
      </c>
      <c r="H191" s="77">
        <f t="shared" si="66"/>
        <v>43845</v>
      </c>
      <c r="I191" s="77" t="str">
        <f t="shared" si="59"/>
        <v>No</v>
      </c>
      <c r="J191" s="75">
        <f t="shared" si="60"/>
        <v>1</v>
      </c>
      <c r="K191" s="78">
        <f t="shared" si="67"/>
        <v>0</v>
      </c>
      <c r="L191" s="12">
        <v>43651</v>
      </c>
      <c r="M191" s="57">
        <f t="shared" si="61"/>
        <v>25100000</v>
      </c>
      <c r="Q191" s="10">
        <f t="shared" si="48"/>
        <v>0.13</v>
      </c>
      <c r="R191" s="10">
        <f t="shared" si="69"/>
        <v>0</v>
      </c>
      <c r="S191" s="60">
        <f t="shared" si="62"/>
        <v>0.13</v>
      </c>
      <c r="T191" s="57">
        <f t="shared" si="63"/>
        <v>9063.8888888888887</v>
      </c>
      <c r="U191" s="57">
        <f t="shared" si="53"/>
        <v>1662163.8922222287</v>
      </c>
      <c r="V191" s="67">
        <f t="shared" si="54"/>
        <v>0</v>
      </c>
      <c r="Y191" s="97">
        <f t="shared" si="68"/>
        <v>0.13</v>
      </c>
      <c r="Z191" s="57">
        <f t="shared" si="55"/>
        <v>9063.8888888888887</v>
      </c>
      <c r="AA191" s="57">
        <f t="shared" si="64"/>
        <v>1569855.5555555604</v>
      </c>
      <c r="AD191" s="11"/>
    </row>
    <row r="192" spans="1:30" hidden="1" outlineLevel="1" x14ac:dyDescent="0.35">
      <c r="A192" s="75" t="str">
        <f t="shared" si="50"/>
        <v>No</v>
      </c>
      <c r="B192" s="75">
        <f t="shared" si="65"/>
        <v>6</v>
      </c>
      <c r="C192" s="76">
        <f t="shared" si="51"/>
        <v>0</v>
      </c>
      <c r="D192" s="77">
        <f t="shared" si="52"/>
        <v>43661</v>
      </c>
      <c r="E192" s="77" t="str">
        <f t="shared" si="56"/>
        <v>No</v>
      </c>
      <c r="F192" s="75">
        <f t="shared" si="57"/>
        <v>2</v>
      </c>
      <c r="G192" s="78">
        <f t="shared" si="58"/>
        <v>0</v>
      </c>
      <c r="H192" s="77">
        <f t="shared" si="66"/>
        <v>43845</v>
      </c>
      <c r="I192" s="77" t="str">
        <f t="shared" si="59"/>
        <v>No</v>
      </c>
      <c r="J192" s="75">
        <f t="shared" si="60"/>
        <v>1</v>
      </c>
      <c r="K192" s="78">
        <f t="shared" si="67"/>
        <v>0</v>
      </c>
      <c r="L192" s="12">
        <v>43652</v>
      </c>
      <c r="M192" s="57">
        <f t="shared" si="61"/>
        <v>25100000</v>
      </c>
      <c r="Q192" s="10">
        <f t="shared" si="48"/>
        <v>0.13</v>
      </c>
      <c r="R192" s="10">
        <f t="shared" si="69"/>
        <v>0</v>
      </c>
      <c r="S192" s="60">
        <f t="shared" si="62"/>
        <v>0.13</v>
      </c>
      <c r="T192" s="57">
        <f t="shared" si="63"/>
        <v>9063.8888888888887</v>
      </c>
      <c r="U192" s="57">
        <f t="shared" si="53"/>
        <v>1671227.7811111177</v>
      </c>
      <c r="V192" s="67">
        <f t="shared" si="54"/>
        <v>0</v>
      </c>
      <c r="Y192" s="97">
        <f t="shared" si="68"/>
        <v>0.13</v>
      </c>
      <c r="Z192" s="57">
        <f t="shared" si="55"/>
        <v>9063.8888888888887</v>
      </c>
      <c r="AA192" s="57">
        <f t="shared" si="64"/>
        <v>1578919.4444444494</v>
      </c>
      <c r="AD192" s="11"/>
    </row>
    <row r="193" spans="1:30" hidden="1" outlineLevel="1" x14ac:dyDescent="0.35">
      <c r="A193" s="75" t="str">
        <f t="shared" si="50"/>
        <v>No</v>
      </c>
      <c r="B193" s="75">
        <f t="shared" si="65"/>
        <v>6</v>
      </c>
      <c r="C193" s="76">
        <f t="shared" si="51"/>
        <v>0</v>
      </c>
      <c r="D193" s="77">
        <f t="shared" si="52"/>
        <v>43661</v>
      </c>
      <c r="E193" s="77" t="str">
        <f t="shared" si="56"/>
        <v>No</v>
      </c>
      <c r="F193" s="75">
        <f t="shared" si="57"/>
        <v>2</v>
      </c>
      <c r="G193" s="78">
        <f t="shared" si="58"/>
        <v>0</v>
      </c>
      <c r="H193" s="77">
        <f t="shared" si="66"/>
        <v>43845</v>
      </c>
      <c r="I193" s="77" t="str">
        <f t="shared" si="59"/>
        <v>No</v>
      </c>
      <c r="J193" s="75">
        <f t="shared" si="60"/>
        <v>1</v>
      </c>
      <c r="K193" s="78">
        <f t="shared" si="67"/>
        <v>0</v>
      </c>
      <c r="L193" s="12">
        <v>43653</v>
      </c>
      <c r="M193" s="57">
        <f t="shared" si="61"/>
        <v>25100000</v>
      </c>
      <c r="Q193" s="10">
        <f t="shared" si="48"/>
        <v>0.13</v>
      </c>
      <c r="R193" s="10">
        <f t="shared" si="69"/>
        <v>0</v>
      </c>
      <c r="S193" s="60">
        <f t="shared" si="62"/>
        <v>0.13</v>
      </c>
      <c r="T193" s="57">
        <f t="shared" si="63"/>
        <v>9063.8888888888887</v>
      </c>
      <c r="U193" s="57">
        <f t="shared" si="53"/>
        <v>1680291.6700000067</v>
      </c>
      <c r="V193" s="67">
        <f t="shared" si="54"/>
        <v>0</v>
      </c>
      <c r="Y193" s="97">
        <f t="shared" si="68"/>
        <v>0.13</v>
      </c>
      <c r="Z193" s="57">
        <f t="shared" si="55"/>
        <v>9063.8888888888887</v>
      </c>
      <c r="AA193" s="57">
        <f t="shared" si="64"/>
        <v>1587983.3333333384</v>
      </c>
      <c r="AD193" s="11"/>
    </row>
    <row r="194" spans="1:30" hidden="1" outlineLevel="1" x14ac:dyDescent="0.35">
      <c r="A194" s="75" t="str">
        <f t="shared" si="50"/>
        <v>No</v>
      </c>
      <c r="B194" s="75">
        <f t="shared" si="65"/>
        <v>6</v>
      </c>
      <c r="C194" s="76">
        <f t="shared" si="51"/>
        <v>0</v>
      </c>
      <c r="D194" s="77">
        <f t="shared" si="52"/>
        <v>43661</v>
      </c>
      <c r="E194" s="77" t="str">
        <f t="shared" si="56"/>
        <v>No</v>
      </c>
      <c r="F194" s="75">
        <f t="shared" si="57"/>
        <v>2</v>
      </c>
      <c r="G194" s="78">
        <f t="shared" si="58"/>
        <v>0</v>
      </c>
      <c r="H194" s="77">
        <f t="shared" si="66"/>
        <v>43845</v>
      </c>
      <c r="I194" s="77" t="str">
        <f t="shared" si="59"/>
        <v>No</v>
      </c>
      <c r="J194" s="75">
        <f t="shared" si="60"/>
        <v>1</v>
      </c>
      <c r="K194" s="78">
        <f t="shared" si="67"/>
        <v>0</v>
      </c>
      <c r="L194" s="12">
        <v>43654</v>
      </c>
      <c r="M194" s="57">
        <f t="shared" si="61"/>
        <v>25100000</v>
      </c>
      <c r="Q194" s="10">
        <f t="shared" ref="Q194:Q257" si="70">Q193</f>
        <v>0.13</v>
      </c>
      <c r="R194" s="10">
        <f t="shared" si="69"/>
        <v>0</v>
      </c>
      <c r="S194" s="60">
        <f t="shared" si="62"/>
        <v>0.13</v>
      </c>
      <c r="T194" s="57">
        <f t="shared" si="63"/>
        <v>9063.8888888888887</v>
      </c>
      <c r="U194" s="57">
        <f t="shared" si="53"/>
        <v>1689355.5588888957</v>
      </c>
      <c r="V194" s="67">
        <f t="shared" si="54"/>
        <v>0</v>
      </c>
      <c r="Y194" s="97">
        <f t="shared" si="68"/>
        <v>0.13</v>
      </c>
      <c r="Z194" s="57">
        <f t="shared" si="55"/>
        <v>9063.8888888888887</v>
      </c>
      <c r="AA194" s="57">
        <f t="shared" si="64"/>
        <v>1597047.2222222274</v>
      </c>
      <c r="AD194" s="11"/>
    </row>
    <row r="195" spans="1:30" hidden="1" outlineLevel="1" x14ac:dyDescent="0.35">
      <c r="A195" s="75" t="str">
        <f t="shared" si="50"/>
        <v>No</v>
      </c>
      <c r="B195" s="75">
        <f t="shared" si="65"/>
        <v>6</v>
      </c>
      <c r="C195" s="76">
        <f t="shared" si="51"/>
        <v>0</v>
      </c>
      <c r="D195" s="77">
        <f t="shared" si="52"/>
        <v>43661</v>
      </c>
      <c r="E195" s="77" t="str">
        <f t="shared" si="56"/>
        <v>No</v>
      </c>
      <c r="F195" s="75">
        <f t="shared" si="57"/>
        <v>2</v>
      </c>
      <c r="G195" s="78">
        <f t="shared" si="58"/>
        <v>0</v>
      </c>
      <c r="H195" s="77">
        <f t="shared" si="66"/>
        <v>43845</v>
      </c>
      <c r="I195" s="77" t="str">
        <f t="shared" si="59"/>
        <v>No</v>
      </c>
      <c r="J195" s="75">
        <f t="shared" si="60"/>
        <v>1</v>
      </c>
      <c r="K195" s="78">
        <f t="shared" si="67"/>
        <v>0</v>
      </c>
      <c r="L195" s="12">
        <v>43655</v>
      </c>
      <c r="M195" s="57">
        <f t="shared" si="61"/>
        <v>25100000</v>
      </c>
      <c r="Q195" s="10">
        <f t="shared" si="70"/>
        <v>0.13</v>
      </c>
      <c r="R195" s="10">
        <f t="shared" si="69"/>
        <v>0</v>
      </c>
      <c r="S195" s="60">
        <f t="shared" si="62"/>
        <v>0.13</v>
      </c>
      <c r="T195" s="57">
        <f t="shared" si="63"/>
        <v>9063.8888888888887</v>
      </c>
      <c r="U195" s="57">
        <f t="shared" si="53"/>
        <v>1698419.4477777847</v>
      </c>
      <c r="V195" s="67">
        <f t="shared" si="54"/>
        <v>0</v>
      </c>
      <c r="Y195" s="97">
        <f t="shared" si="68"/>
        <v>0.13</v>
      </c>
      <c r="Z195" s="57">
        <f t="shared" si="55"/>
        <v>9063.8888888888887</v>
      </c>
      <c r="AA195" s="57">
        <f t="shared" si="64"/>
        <v>1606111.1111111164</v>
      </c>
      <c r="AD195" s="11"/>
    </row>
    <row r="196" spans="1:30" hidden="1" outlineLevel="1" x14ac:dyDescent="0.35">
      <c r="A196" s="75" t="str">
        <f t="shared" si="50"/>
        <v>No</v>
      </c>
      <c r="B196" s="75">
        <f t="shared" si="65"/>
        <v>6</v>
      </c>
      <c r="C196" s="76">
        <f t="shared" si="51"/>
        <v>0</v>
      </c>
      <c r="D196" s="77">
        <f t="shared" si="52"/>
        <v>43661</v>
      </c>
      <c r="E196" s="77" t="str">
        <f t="shared" si="56"/>
        <v>No</v>
      </c>
      <c r="F196" s="75">
        <f t="shared" si="57"/>
        <v>2</v>
      </c>
      <c r="G196" s="78">
        <f t="shared" si="58"/>
        <v>0</v>
      </c>
      <c r="H196" s="77">
        <f t="shared" si="66"/>
        <v>43845</v>
      </c>
      <c r="I196" s="77" t="str">
        <f t="shared" si="59"/>
        <v>No</v>
      </c>
      <c r="J196" s="75">
        <f t="shared" si="60"/>
        <v>1</v>
      </c>
      <c r="K196" s="78">
        <f t="shared" si="67"/>
        <v>0</v>
      </c>
      <c r="L196" s="12">
        <v>43656</v>
      </c>
      <c r="M196" s="57">
        <f t="shared" si="61"/>
        <v>25100000</v>
      </c>
      <c r="Q196" s="10">
        <f t="shared" si="70"/>
        <v>0.13</v>
      </c>
      <c r="R196" s="10">
        <f t="shared" si="69"/>
        <v>0</v>
      </c>
      <c r="S196" s="60">
        <f t="shared" si="62"/>
        <v>0.13</v>
      </c>
      <c r="T196" s="57">
        <f t="shared" si="63"/>
        <v>9063.8888888888887</v>
      </c>
      <c r="U196" s="57">
        <f t="shared" si="53"/>
        <v>1707483.3366666737</v>
      </c>
      <c r="V196" s="67">
        <f t="shared" si="54"/>
        <v>0</v>
      </c>
      <c r="Y196" s="97">
        <f t="shared" si="68"/>
        <v>0.13</v>
      </c>
      <c r="Z196" s="57">
        <f t="shared" si="55"/>
        <v>9063.8888888888887</v>
      </c>
      <c r="AA196" s="57">
        <f t="shared" si="64"/>
        <v>1615175.0000000054</v>
      </c>
      <c r="AD196" s="11"/>
    </row>
    <row r="197" spans="1:30" hidden="1" outlineLevel="1" x14ac:dyDescent="0.35">
      <c r="A197" s="75" t="str">
        <f t="shared" si="50"/>
        <v>No</v>
      </c>
      <c r="B197" s="75">
        <f t="shared" si="65"/>
        <v>6</v>
      </c>
      <c r="C197" s="76">
        <f t="shared" si="51"/>
        <v>0</v>
      </c>
      <c r="D197" s="77">
        <f t="shared" si="52"/>
        <v>43661</v>
      </c>
      <c r="E197" s="77" t="str">
        <f t="shared" si="56"/>
        <v>No</v>
      </c>
      <c r="F197" s="75">
        <f t="shared" si="57"/>
        <v>2</v>
      </c>
      <c r="G197" s="78">
        <f t="shared" si="58"/>
        <v>0</v>
      </c>
      <c r="H197" s="77">
        <f t="shared" si="66"/>
        <v>43845</v>
      </c>
      <c r="I197" s="77" t="str">
        <f t="shared" si="59"/>
        <v>No</v>
      </c>
      <c r="J197" s="75">
        <f t="shared" si="60"/>
        <v>1</v>
      </c>
      <c r="K197" s="78">
        <f t="shared" si="67"/>
        <v>0</v>
      </c>
      <c r="L197" s="12">
        <v>43657</v>
      </c>
      <c r="M197" s="57">
        <f t="shared" si="61"/>
        <v>25100000</v>
      </c>
      <c r="Q197" s="10">
        <f t="shared" si="70"/>
        <v>0.13</v>
      </c>
      <c r="R197" s="10">
        <f t="shared" si="69"/>
        <v>0</v>
      </c>
      <c r="S197" s="60">
        <f t="shared" si="62"/>
        <v>0.13</v>
      </c>
      <c r="T197" s="57">
        <f t="shared" si="63"/>
        <v>9063.8888888888887</v>
      </c>
      <c r="U197" s="57">
        <f t="shared" si="53"/>
        <v>1716547.2255555626</v>
      </c>
      <c r="V197" s="67">
        <f t="shared" si="54"/>
        <v>0</v>
      </c>
      <c r="Y197" s="97">
        <f t="shared" si="68"/>
        <v>0.13</v>
      </c>
      <c r="Z197" s="57">
        <f t="shared" si="55"/>
        <v>9063.8888888888887</v>
      </c>
      <c r="AA197" s="57">
        <f t="shared" si="64"/>
        <v>1624238.8888888943</v>
      </c>
      <c r="AD197" s="11"/>
    </row>
    <row r="198" spans="1:30" hidden="1" outlineLevel="1" x14ac:dyDescent="0.35">
      <c r="A198" s="75" t="str">
        <f t="shared" si="50"/>
        <v>No</v>
      </c>
      <c r="B198" s="75">
        <f t="shared" si="65"/>
        <v>6</v>
      </c>
      <c r="C198" s="76">
        <f t="shared" si="51"/>
        <v>0</v>
      </c>
      <c r="D198" s="77">
        <f t="shared" si="52"/>
        <v>43661</v>
      </c>
      <c r="E198" s="77" t="str">
        <f t="shared" si="56"/>
        <v>No</v>
      </c>
      <c r="F198" s="75">
        <f t="shared" si="57"/>
        <v>2</v>
      </c>
      <c r="G198" s="78">
        <f t="shared" si="58"/>
        <v>0</v>
      </c>
      <c r="H198" s="77">
        <f t="shared" si="66"/>
        <v>43845</v>
      </c>
      <c r="I198" s="77" t="str">
        <f t="shared" si="59"/>
        <v>No</v>
      </c>
      <c r="J198" s="75">
        <f t="shared" si="60"/>
        <v>1</v>
      </c>
      <c r="K198" s="78">
        <f t="shared" si="67"/>
        <v>0</v>
      </c>
      <c r="L198" s="12">
        <v>43658</v>
      </c>
      <c r="M198" s="57">
        <f t="shared" si="61"/>
        <v>25100000</v>
      </c>
      <c r="Q198" s="10">
        <f t="shared" si="70"/>
        <v>0.13</v>
      </c>
      <c r="R198" s="10">
        <f t="shared" si="69"/>
        <v>0</v>
      </c>
      <c r="S198" s="60">
        <f t="shared" si="62"/>
        <v>0.13</v>
      </c>
      <c r="T198" s="57">
        <f t="shared" si="63"/>
        <v>9063.8888888888887</v>
      </c>
      <c r="U198" s="57">
        <f t="shared" si="53"/>
        <v>1725611.1144444516</v>
      </c>
      <c r="V198" s="67">
        <f t="shared" si="54"/>
        <v>0</v>
      </c>
      <c r="Y198" s="97">
        <f t="shared" si="68"/>
        <v>0.13</v>
      </c>
      <c r="Z198" s="57">
        <f t="shared" si="55"/>
        <v>9063.8888888888887</v>
      </c>
      <c r="AA198" s="57">
        <f t="shared" si="64"/>
        <v>1633302.7777777833</v>
      </c>
      <c r="AD198" s="11"/>
    </row>
    <row r="199" spans="1:30" hidden="1" outlineLevel="1" x14ac:dyDescent="0.35">
      <c r="A199" s="75" t="str">
        <f t="shared" si="50"/>
        <v>No</v>
      </c>
      <c r="B199" s="75">
        <f t="shared" si="65"/>
        <v>6</v>
      </c>
      <c r="C199" s="76">
        <f t="shared" si="51"/>
        <v>0</v>
      </c>
      <c r="D199" s="77">
        <f t="shared" si="52"/>
        <v>43661</v>
      </c>
      <c r="E199" s="77" t="str">
        <f t="shared" si="56"/>
        <v>No</v>
      </c>
      <c r="F199" s="75">
        <f t="shared" si="57"/>
        <v>2</v>
      </c>
      <c r="G199" s="78">
        <f t="shared" si="58"/>
        <v>0</v>
      </c>
      <c r="H199" s="77">
        <f t="shared" si="66"/>
        <v>43845</v>
      </c>
      <c r="I199" s="77" t="str">
        <f t="shared" si="59"/>
        <v>No</v>
      </c>
      <c r="J199" s="75">
        <f t="shared" si="60"/>
        <v>1</v>
      </c>
      <c r="K199" s="78">
        <f t="shared" si="67"/>
        <v>0</v>
      </c>
      <c r="L199" s="12">
        <v>43659</v>
      </c>
      <c r="M199" s="57">
        <f t="shared" si="61"/>
        <v>25100000</v>
      </c>
      <c r="Q199" s="10">
        <f t="shared" si="70"/>
        <v>0.13</v>
      </c>
      <c r="R199" s="10">
        <f t="shared" si="69"/>
        <v>0</v>
      </c>
      <c r="S199" s="60">
        <f t="shared" si="62"/>
        <v>0.13</v>
      </c>
      <c r="T199" s="57">
        <f t="shared" si="63"/>
        <v>9063.8888888888887</v>
      </c>
      <c r="U199" s="57">
        <f t="shared" si="53"/>
        <v>1734675.0033333406</v>
      </c>
      <c r="V199" s="67">
        <f t="shared" si="54"/>
        <v>0</v>
      </c>
      <c r="Y199" s="97">
        <f t="shared" si="68"/>
        <v>0.13</v>
      </c>
      <c r="Z199" s="57">
        <f t="shared" si="55"/>
        <v>9063.8888888888887</v>
      </c>
      <c r="AA199" s="57">
        <f t="shared" si="64"/>
        <v>1642366.6666666723</v>
      </c>
      <c r="AD199" s="11"/>
    </row>
    <row r="200" spans="1:30" hidden="1" outlineLevel="1" x14ac:dyDescent="0.35">
      <c r="A200" s="75" t="str">
        <f t="shared" si="50"/>
        <v>No</v>
      </c>
      <c r="B200" s="75">
        <f t="shared" si="65"/>
        <v>6</v>
      </c>
      <c r="C200" s="76">
        <f t="shared" si="51"/>
        <v>0</v>
      </c>
      <c r="D200" s="77">
        <f t="shared" si="52"/>
        <v>43661</v>
      </c>
      <c r="E200" s="77" t="str">
        <f t="shared" si="56"/>
        <v>No</v>
      </c>
      <c r="F200" s="75">
        <f t="shared" si="57"/>
        <v>2</v>
      </c>
      <c r="G200" s="78">
        <f t="shared" si="58"/>
        <v>0</v>
      </c>
      <c r="H200" s="77">
        <f t="shared" si="66"/>
        <v>43845</v>
      </c>
      <c r="I200" s="77" t="str">
        <f t="shared" si="59"/>
        <v>No</v>
      </c>
      <c r="J200" s="75">
        <f t="shared" si="60"/>
        <v>1</v>
      </c>
      <c r="K200" s="78">
        <f t="shared" si="67"/>
        <v>0</v>
      </c>
      <c r="L200" s="12">
        <v>43660</v>
      </c>
      <c r="M200" s="57">
        <f t="shared" si="61"/>
        <v>25100000</v>
      </c>
      <c r="Q200" s="10">
        <f t="shared" si="70"/>
        <v>0.13</v>
      </c>
      <c r="R200" s="10">
        <f t="shared" si="69"/>
        <v>0</v>
      </c>
      <c r="S200" s="60">
        <f t="shared" si="62"/>
        <v>0.13</v>
      </c>
      <c r="T200" s="57">
        <f t="shared" si="63"/>
        <v>9063.8888888888887</v>
      </c>
      <c r="U200" s="57">
        <f t="shared" si="53"/>
        <v>1743738.8922222296</v>
      </c>
      <c r="V200" s="67">
        <f t="shared" si="54"/>
        <v>0</v>
      </c>
      <c r="Y200" s="97">
        <f t="shared" si="68"/>
        <v>0.13</v>
      </c>
      <c r="Z200" s="57">
        <f t="shared" si="55"/>
        <v>9063.8888888888887</v>
      </c>
      <c r="AA200" s="57">
        <f t="shared" si="64"/>
        <v>1651430.5555555613</v>
      </c>
      <c r="AD200" s="11"/>
    </row>
    <row r="201" spans="1:30" hidden="1" outlineLevel="1" x14ac:dyDescent="0.35">
      <c r="A201" s="75" t="str">
        <f t="shared" si="50"/>
        <v>Yes</v>
      </c>
      <c r="B201" s="75">
        <f t="shared" si="65"/>
        <v>7</v>
      </c>
      <c r="C201" s="76">
        <f t="shared" si="51"/>
        <v>271916.66666666651</v>
      </c>
      <c r="D201" s="77">
        <f t="shared" si="52"/>
        <v>43753</v>
      </c>
      <c r="E201" s="77" t="str">
        <f t="shared" si="56"/>
        <v>Yes</v>
      </c>
      <c r="F201" s="75">
        <f t="shared" si="57"/>
        <v>3</v>
      </c>
      <c r="G201" s="78">
        <f t="shared" si="58"/>
        <v>824813.88888888794</v>
      </c>
      <c r="H201" s="77">
        <f t="shared" si="66"/>
        <v>43845</v>
      </c>
      <c r="I201" s="77" t="str">
        <f t="shared" si="59"/>
        <v>No</v>
      </c>
      <c r="J201" s="75">
        <f t="shared" si="60"/>
        <v>1</v>
      </c>
      <c r="K201" s="78">
        <f t="shared" si="67"/>
        <v>0</v>
      </c>
      <c r="L201" s="12">
        <v>43661</v>
      </c>
      <c r="M201" s="57">
        <f t="shared" si="61"/>
        <v>25100000</v>
      </c>
      <c r="Q201" s="10">
        <f t="shared" si="70"/>
        <v>0.13</v>
      </c>
      <c r="R201" s="10">
        <f t="shared" si="69"/>
        <v>0</v>
      </c>
      <c r="S201" s="60">
        <f t="shared" si="62"/>
        <v>0.13</v>
      </c>
      <c r="T201" s="57">
        <f t="shared" si="63"/>
        <v>9063.8888888888887</v>
      </c>
      <c r="U201" s="57">
        <f t="shared" si="53"/>
        <v>1752802.7811111186</v>
      </c>
      <c r="V201" s="67">
        <f t="shared" si="54"/>
        <v>271916.66666666651</v>
      </c>
      <c r="Y201" s="97">
        <f t="shared" si="68"/>
        <v>0.13</v>
      </c>
      <c r="Z201" s="57">
        <f t="shared" si="55"/>
        <v>9063.8888888888887</v>
      </c>
      <c r="AA201" s="57">
        <f t="shared" si="64"/>
        <v>1660494.4444444503</v>
      </c>
      <c r="AD201" s="11"/>
    </row>
    <row r="202" spans="1:30" hidden="1" outlineLevel="1" x14ac:dyDescent="0.35">
      <c r="A202" s="75" t="str">
        <f t="shared" si="50"/>
        <v>No</v>
      </c>
      <c r="B202" s="75">
        <f t="shared" si="65"/>
        <v>7</v>
      </c>
      <c r="C202" s="76">
        <f t="shared" si="51"/>
        <v>0</v>
      </c>
      <c r="D202" s="77">
        <f t="shared" si="52"/>
        <v>43753</v>
      </c>
      <c r="E202" s="77" t="str">
        <f t="shared" si="56"/>
        <v>No</v>
      </c>
      <c r="F202" s="75">
        <f t="shared" si="57"/>
        <v>3</v>
      </c>
      <c r="G202" s="78">
        <f t="shared" si="58"/>
        <v>0</v>
      </c>
      <c r="H202" s="77">
        <f t="shared" si="66"/>
        <v>43845</v>
      </c>
      <c r="I202" s="77" t="str">
        <f t="shared" si="59"/>
        <v>No</v>
      </c>
      <c r="J202" s="75">
        <f t="shared" si="60"/>
        <v>1</v>
      </c>
      <c r="K202" s="78">
        <f t="shared" si="67"/>
        <v>0</v>
      </c>
      <c r="L202" s="12">
        <v>43662</v>
      </c>
      <c r="M202" s="57">
        <f t="shared" si="61"/>
        <v>25100000</v>
      </c>
      <c r="Q202" s="10">
        <f t="shared" si="70"/>
        <v>0.13</v>
      </c>
      <c r="R202" s="10">
        <f t="shared" si="69"/>
        <v>0</v>
      </c>
      <c r="S202" s="60">
        <f t="shared" si="62"/>
        <v>0.13</v>
      </c>
      <c r="T202" s="57">
        <f t="shared" si="63"/>
        <v>9063.8888888888887</v>
      </c>
      <c r="U202" s="57">
        <f t="shared" si="53"/>
        <v>1761866.6700000076</v>
      </c>
      <c r="V202" s="67">
        <f t="shared" si="54"/>
        <v>0</v>
      </c>
      <c r="Y202" s="97">
        <f t="shared" si="68"/>
        <v>0.13</v>
      </c>
      <c r="Z202" s="57">
        <f t="shared" si="55"/>
        <v>9063.8888888888887</v>
      </c>
      <c r="AA202" s="57">
        <f t="shared" si="64"/>
        <v>1669558.3333333393</v>
      </c>
      <c r="AD202" s="11"/>
    </row>
    <row r="203" spans="1:30" hidden="1" outlineLevel="1" x14ac:dyDescent="0.35">
      <c r="A203" s="75" t="str">
        <f t="shared" si="50"/>
        <v>No</v>
      </c>
      <c r="B203" s="75">
        <f t="shared" si="65"/>
        <v>7</v>
      </c>
      <c r="C203" s="76">
        <f t="shared" si="51"/>
        <v>0</v>
      </c>
      <c r="D203" s="77">
        <f t="shared" si="52"/>
        <v>43753</v>
      </c>
      <c r="E203" s="77" t="str">
        <f t="shared" si="56"/>
        <v>No</v>
      </c>
      <c r="F203" s="75">
        <f t="shared" si="57"/>
        <v>3</v>
      </c>
      <c r="G203" s="78">
        <f t="shared" si="58"/>
        <v>0</v>
      </c>
      <c r="H203" s="77">
        <f t="shared" si="66"/>
        <v>43845</v>
      </c>
      <c r="I203" s="77" t="str">
        <f t="shared" si="59"/>
        <v>No</v>
      </c>
      <c r="J203" s="75">
        <f t="shared" si="60"/>
        <v>1</v>
      </c>
      <c r="K203" s="78">
        <f t="shared" si="67"/>
        <v>0</v>
      </c>
      <c r="L203" s="12">
        <v>43663</v>
      </c>
      <c r="M203" s="57">
        <f t="shared" si="61"/>
        <v>25100000</v>
      </c>
      <c r="Q203" s="10">
        <f t="shared" si="70"/>
        <v>0.13</v>
      </c>
      <c r="R203" s="10">
        <f t="shared" si="69"/>
        <v>0</v>
      </c>
      <c r="S203" s="60">
        <f t="shared" si="62"/>
        <v>0.13</v>
      </c>
      <c r="T203" s="57">
        <f t="shared" si="63"/>
        <v>9063.8888888888887</v>
      </c>
      <c r="U203" s="57">
        <f t="shared" si="53"/>
        <v>1770930.5588888966</v>
      </c>
      <c r="V203" s="67">
        <f t="shared" si="54"/>
        <v>0</v>
      </c>
      <c r="Y203" s="97">
        <f t="shared" si="68"/>
        <v>0.13</v>
      </c>
      <c r="Z203" s="57">
        <f t="shared" si="55"/>
        <v>9063.8888888888887</v>
      </c>
      <c r="AA203" s="57">
        <f t="shared" si="64"/>
        <v>1678622.2222222283</v>
      </c>
      <c r="AD203" s="11"/>
    </row>
    <row r="204" spans="1:30" hidden="1" outlineLevel="1" x14ac:dyDescent="0.35">
      <c r="A204" s="75" t="str">
        <f t="shared" si="50"/>
        <v>No</v>
      </c>
      <c r="B204" s="75">
        <f t="shared" si="65"/>
        <v>7</v>
      </c>
      <c r="C204" s="76">
        <f t="shared" si="51"/>
        <v>0</v>
      </c>
      <c r="D204" s="77">
        <f t="shared" si="52"/>
        <v>43753</v>
      </c>
      <c r="E204" s="77" t="str">
        <f t="shared" si="56"/>
        <v>No</v>
      </c>
      <c r="F204" s="75">
        <f t="shared" si="57"/>
        <v>3</v>
      </c>
      <c r="G204" s="78">
        <f t="shared" si="58"/>
        <v>0</v>
      </c>
      <c r="H204" s="77">
        <f t="shared" si="66"/>
        <v>43845</v>
      </c>
      <c r="I204" s="77" t="str">
        <f t="shared" si="59"/>
        <v>No</v>
      </c>
      <c r="J204" s="75">
        <f t="shared" si="60"/>
        <v>1</v>
      </c>
      <c r="K204" s="78">
        <f t="shared" si="67"/>
        <v>0</v>
      </c>
      <c r="L204" s="12">
        <v>43664</v>
      </c>
      <c r="M204" s="57">
        <f t="shared" si="61"/>
        <v>25100000</v>
      </c>
      <c r="Q204" s="10">
        <f t="shared" si="70"/>
        <v>0.13</v>
      </c>
      <c r="R204" s="10">
        <f t="shared" si="69"/>
        <v>0</v>
      </c>
      <c r="S204" s="60">
        <f t="shared" si="62"/>
        <v>0.13</v>
      </c>
      <c r="T204" s="57">
        <f t="shared" si="63"/>
        <v>9063.8888888888887</v>
      </c>
      <c r="U204" s="57">
        <f t="shared" si="53"/>
        <v>1779994.4477777856</v>
      </c>
      <c r="V204" s="67">
        <f t="shared" si="54"/>
        <v>0</v>
      </c>
      <c r="Y204" s="97">
        <f t="shared" si="68"/>
        <v>0.13</v>
      </c>
      <c r="Z204" s="57">
        <f t="shared" si="55"/>
        <v>9063.8888888888887</v>
      </c>
      <c r="AA204" s="57">
        <f t="shared" si="64"/>
        <v>1687686.1111111173</v>
      </c>
      <c r="AD204" s="11"/>
    </row>
    <row r="205" spans="1:30" hidden="1" outlineLevel="1" x14ac:dyDescent="0.35">
      <c r="A205" s="75" t="str">
        <f t="shared" si="50"/>
        <v>No</v>
      </c>
      <c r="B205" s="75">
        <f t="shared" si="65"/>
        <v>7</v>
      </c>
      <c r="C205" s="76">
        <f t="shared" si="51"/>
        <v>0</v>
      </c>
      <c r="D205" s="77">
        <f t="shared" si="52"/>
        <v>43753</v>
      </c>
      <c r="E205" s="77" t="str">
        <f t="shared" si="56"/>
        <v>No</v>
      </c>
      <c r="F205" s="75">
        <f t="shared" si="57"/>
        <v>3</v>
      </c>
      <c r="G205" s="78">
        <f t="shared" si="58"/>
        <v>0</v>
      </c>
      <c r="H205" s="77">
        <f t="shared" si="66"/>
        <v>43845</v>
      </c>
      <c r="I205" s="77" t="str">
        <f t="shared" si="59"/>
        <v>No</v>
      </c>
      <c r="J205" s="75">
        <f t="shared" si="60"/>
        <v>1</v>
      </c>
      <c r="K205" s="78">
        <f t="shared" si="67"/>
        <v>0</v>
      </c>
      <c r="L205" s="12">
        <v>43665</v>
      </c>
      <c r="M205" s="57">
        <f t="shared" si="61"/>
        <v>25100000</v>
      </c>
      <c r="Q205" s="10">
        <f t="shared" si="70"/>
        <v>0.13</v>
      </c>
      <c r="R205" s="10">
        <f t="shared" si="69"/>
        <v>0</v>
      </c>
      <c r="S205" s="60">
        <f t="shared" si="62"/>
        <v>0.13</v>
      </c>
      <c r="T205" s="57">
        <f t="shared" si="63"/>
        <v>9063.8888888888887</v>
      </c>
      <c r="U205" s="57">
        <f t="shared" si="53"/>
        <v>1789058.3366666746</v>
      </c>
      <c r="V205" s="67">
        <f t="shared" si="54"/>
        <v>0</v>
      </c>
      <c r="Y205" s="97">
        <f t="shared" si="68"/>
        <v>0.13</v>
      </c>
      <c r="Z205" s="57">
        <f t="shared" si="55"/>
        <v>9063.8888888888887</v>
      </c>
      <c r="AA205" s="57">
        <f t="shared" si="64"/>
        <v>1696750.0000000063</v>
      </c>
      <c r="AD205" s="11"/>
    </row>
    <row r="206" spans="1:30" hidden="1" outlineLevel="1" x14ac:dyDescent="0.35">
      <c r="A206" s="75" t="str">
        <f t="shared" si="50"/>
        <v>No</v>
      </c>
      <c r="B206" s="75">
        <f t="shared" si="65"/>
        <v>7</v>
      </c>
      <c r="C206" s="76">
        <f t="shared" si="51"/>
        <v>0</v>
      </c>
      <c r="D206" s="77">
        <f t="shared" si="52"/>
        <v>43753</v>
      </c>
      <c r="E206" s="77" t="str">
        <f t="shared" si="56"/>
        <v>No</v>
      </c>
      <c r="F206" s="75">
        <f t="shared" si="57"/>
        <v>3</v>
      </c>
      <c r="G206" s="78">
        <f t="shared" si="58"/>
        <v>0</v>
      </c>
      <c r="H206" s="77">
        <f t="shared" si="66"/>
        <v>43845</v>
      </c>
      <c r="I206" s="77" t="str">
        <f t="shared" si="59"/>
        <v>No</v>
      </c>
      <c r="J206" s="75">
        <f t="shared" si="60"/>
        <v>1</v>
      </c>
      <c r="K206" s="78">
        <f t="shared" si="67"/>
        <v>0</v>
      </c>
      <c r="L206" s="12">
        <v>43666</v>
      </c>
      <c r="M206" s="57">
        <f t="shared" si="61"/>
        <v>25100000</v>
      </c>
      <c r="Q206" s="10">
        <f t="shared" si="70"/>
        <v>0.13</v>
      </c>
      <c r="R206" s="10">
        <f t="shared" si="69"/>
        <v>0</v>
      </c>
      <c r="S206" s="60">
        <f t="shared" si="62"/>
        <v>0.13</v>
      </c>
      <c r="T206" s="57">
        <f t="shared" si="63"/>
        <v>9063.8888888888887</v>
      </c>
      <c r="U206" s="57">
        <f t="shared" si="53"/>
        <v>1798122.2255555636</v>
      </c>
      <c r="V206" s="67">
        <f t="shared" si="54"/>
        <v>0</v>
      </c>
      <c r="Y206" s="97">
        <f t="shared" si="68"/>
        <v>0.13</v>
      </c>
      <c r="Z206" s="57">
        <f t="shared" si="55"/>
        <v>9063.8888888888887</v>
      </c>
      <c r="AA206" s="57">
        <f t="shared" si="64"/>
        <v>1705813.8888888953</v>
      </c>
      <c r="AD206" s="11"/>
    </row>
    <row r="207" spans="1:30" hidden="1" outlineLevel="1" x14ac:dyDescent="0.35">
      <c r="A207" s="75" t="str">
        <f t="shared" si="50"/>
        <v>No</v>
      </c>
      <c r="B207" s="75">
        <f t="shared" si="65"/>
        <v>7</v>
      </c>
      <c r="C207" s="76">
        <f t="shared" si="51"/>
        <v>0</v>
      </c>
      <c r="D207" s="77">
        <f t="shared" si="52"/>
        <v>43753</v>
      </c>
      <c r="E207" s="77" t="str">
        <f t="shared" si="56"/>
        <v>No</v>
      </c>
      <c r="F207" s="75">
        <f t="shared" si="57"/>
        <v>3</v>
      </c>
      <c r="G207" s="78">
        <f t="shared" si="58"/>
        <v>0</v>
      </c>
      <c r="H207" s="77">
        <f t="shared" si="66"/>
        <v>43845</v>
      </c>
      <c r="I207" s="77" t="str">
        <f t="shared" si="59"/>
        <v>No</v>
      </c>
      <c r="J207" s="75">
        <f t="shared" si="60"/>
        <v>1</v>
      </c>
      <c r="K207" s="78">
        <f t="shared" si="67"/>
        <v>0</v>
      </c>
      <c r="L207" s="12">
        <v>43667</v>
      </c>
      <c r="M207" s="57">
        <f t="shared" si="61"/>
        <v>25100000</v>
      </c>
      <c r="Q207" s="10">
        <f t="shared" si="70"/>
        <v>0.13</v>
      </c>
      <c r="R207" s="10">
        <f t="shared" si="69"/>
        <v>0</v>
      </c>
      <c r="S207" s="60">
        <f t="shared" si="62"/>
        <v>0.13</v>
      </c>
      <c r="T207" s="57">
        <f t="shared" si="63"/>
        <v>9063.8888888888887</v>
      </c>
      <c r="U207" s="57">
        <f t="shared" si="53"/>
        <v>1807186.1144444526</v>
      </c>
      <c r="V207" s="67">
        <f t="shared" si="54"/>
        <v>0</v>
      </c>
      <c r="Y207" s="97">
        <f t="shared" si="68"/>
        <v>0.13</v>
      </c>
      <c r="Z207" s="57">
        <f t="shared" si="55"/>
        <v>9063.8888888888887</v>
      </c>
      <c r="AA207" s="57">
        <f t="shared" si="64"/>
        <v>1714877.7777777843</v>
      </c>
      <c r="AD207" s="11"/>
    </row>
    <row r="208" spans="1:30" hidden="1" outlineLevel="1" x14ac:dyDescent="0.35">
      <c r="A208" s="75" t="str">
        <f t="shared" si="50"/>
        <v>No</v>
      </c>
      <c r="B208" s="75">
        <f t="shared" si="65"/>
        <v>7</v>
      </c>
      <c r="C208" s="76">
        <f t="shared" si="51"/>
        <v>0</v>
      </c>
      <c r="D208" s="77">
        <f t="shared" si="52"/>
        <v>43753</v>
      </c>
      <c r="E208" s="77" t="str">
        <f t="shared" si="56"/>
        <v>No</v>
      </c>
      <c r="F208" s="75">
        <f t="shared" si="57"/>
        <v>3</v>
      </c>
      <c r="G208" s="78">
        <f t="shared" si="58"/>
        <v>0</v>
      </c>
      <c r="H208" s="77">
        <f t="shared" si="66"/>
        <v>43845</v>
      </c>
      <c r="I208" s="77" t="str">
        <f t="shared" si="59"/>
        <v>No</v>
      </c>
      <c r="J208" s="75">
        <f t="shared" si="60"/>
        <v>1</v>
      </c>
      <c r="K208" s="78">
        <f t="shared" si="67"/>
        <v>0</v>
      </c>
      <c r="L208" s="12">
        <v>43668</v>
      </c>
      <c r="M208" s="57">
        <f t="shared" si="61"/>
        <v>25100000</v>
      </c>
      <c r="Q208" s="10">
        <f t="shared" si="70"/>
        <v>0.13</v>
      </c>
      <c r="R208" s="10">
        <f t="shared" si="69"/>
        <v>0</v>
      </c>
      <c r="S208" s="60">
        <f t="shared" si="62"/>
        <v>0.13</v>
      </c>
      <c r="T208" s="57">
        <f t="shared" si="63"/>
        <v>9063.8888888888887</v>
      </c>
      <c r="U208" s="57">
        <f t="shared" si="53"/>
        <v>1816250.0033333416</v>
      </c>
      <c r="V208" s="67">
        <f t="shared" si="54"/>
        <v>0</v>
      </c>
      <c r="Y208" s="97">
        <f t="shared" si="68"/>
        <v>0.13</v>
      </c>
      <c r="Z208" s="57">
        <f t="shared" si="55"/>
        <v>9063.8888888888887</v>
      </c>
      <c r="AA208" s="57">
        <f t="shared" si="64"/>
        <v>1723941.6666666733</v>
      </c>
      <c r="AD208" s="11"/>
    </row>
    <row r="209" spans="1:30" hidden="1" outlineLevel="1" x14ac:dyDescent="0.35">
      <c r="A209" s="75" t="str">
        <f t="shared" si="50"/>
        <v>No</v>
      </c>
      <c r="B209" s="75">
        <f t="shared" si="65"/>
        <v>7</v>
      </c>
      <c r="C209" s="76">
        <f t="shared" si="51"/>
        <v>0</v>
      </c>
      <c r="D209" s="77">
        <f t="shared" si="52"/>
        <v>43753</v>
      </c>
      <c r="E209" s="77" t="str">
        <f t="shared" si="56"/>
        <v>No</v>
      </c>
      <c r="F209" s="75">
        <f t="shared" si="57"/>
        <v>3</v>
      </c>
      <c r="G209" s="78">
        <f t="shared" si="58"/>
        <v>0</v>
      </c>
      <c r="H209" s="77">
        <f t="shared" si="66"/>
        <v>43845</v>
      </c>
      <c r="I209" s="77" t="str">
        <f t="shared" si="59"/>
        <v>No</v>
      </c>
      <c r="J209" s="75">
        <f t="shared" si="60"/>
        <v>1</v>
      </c>
      <c r="K209" s="78">
        <f t="shared" si="67"/>
        <v>0</v>
      </c>
      <c r="L209" s="12">
        <v>43669</v>
      </c>
      <c r="M209" s="57">
        <f t="shared" si="61"/>
        <v>25100000</v>
      </c>
      <c r="Q209" s="10">
        <f t="shared" si="70"/>
        <v>0.13</v>
      </c>
      <c r="R209" s="10">
        <f t="shared" si="69"/>
        <v>0</v>
      </c>
      <c r="S209" s="60">
        <f t="shared" si="62"/>
        <v>0.13</v>
      </c>
      <c r="T209" s="57">
        <f t="shared" si="63"/>
        <v>9063.8888888888887</v>
      </c>
      <c r="U209" s="57">
        <f t="shared" si="53"/>
        <v>1825313.8922222306</v>
      </c>
      <c r="V209" s="67">
        <f t="shared" si="54"/>
        <v>0</v>
      </c>
      <c r="Y209" s="97">
        <f t="shared" si="68"/>
        <v>0.13</v>
      </c>
      <c r="Z209" s="57">
        <f t="shared" si="55"/>
        <v>9063.8888888888887</v>
      </c>
      <c r="AA209" s="57">
        <f t="shared" si="64"/>
        <v>1733005.5555555623</v>
      </c>
      <c r="AD209" s="11"/>
    </row>
    <row r="210" spans="1:30" hidden="1" outlineLevel="1" x14ac:dyDescent="0.35">
      <c r="A210" s="75" t="str">
        <f t="shared" si="50"/>
        <v>No</v>
      </c>
      <c r="B210" s="75">
        <f t="shared" si="65"/>
        <v>7</v>
      </c>
      <c r="C210" s="76">
        <f t="shared" si="51"/>
        <v>0</v>
      </c>
      <c r="D210" s="77">
        <f t="shared" si="52"/>
        <v>43753</v>
      </c>
      <c r="E210" s="77" t="str">
        <f t="shared" si="56"/>
        <v>No</v>
      </c>
      <c r="F210" s="75">
        <f t="shared" si="57"/>
        <v>3</v>
      </c>
      <c r="G210" s="78">
        <f t="shared" si="58"/>
        <v>0</v>
      </c>
      <c r="H210" s="77">
        <f t="shared" si="66"/>
        <v>43845</v>
      </c>
      <c r="I210" s="77" t="str">
        <f t="shared" si="59"/>
        <v>No</v>
      </c>
      <c r="J210" s="75">
        <f t="shared" si="60"/>
        <v>1</v>
      </c>
      <c r="K210" s="78">
        <f t="shared" si="67"/>
        <v>0</v>
      </c>
      <c r="L210" s="12">
        <v>43670</v>
      </c>
      <c r="M210" s="57">
        <f t="shared" si="61"/>
        <v>25100000</v>
      </c>
      <c r="Q210" s="10">
        <f t="shared" si="70"/>
        <v>0.13</v>
      </c>
      <c r="R210" s="10">
        <f t="shared" si="69"/>
        <v>0</v>
      </c>
      <c r="S210" s="60">
        <f t="shared" si="62"/>
        <v>0.13</v>
      </c>
      <c r="T210" s="57">
        <f t="shared" si="63"/>
        <v>9063.8888888888887</v>
      </c>
      <c r="U210" s="57">
        <f t="shared" si="53"/>
        <v>1834377.7811111195</v>
      </c>
      <c r="V210" s="67">
        <f t="shared" si="54"/>
        <v>0</v>
      </c>
      <c r="Y210" s="97">
        <f t="shared" si="68"/>
        <v>0.13</v>
      </c>
      <c r="Z210" s="57">
        <f t="shared" si="55"/>
        <v>9063.8888888888887</v>
      </c>
      <c r="AA210" s="57">
        <f t="shared" si="64"/>
        <v>1742069.4444444512</v>
      </c>
      <c r="AD210" s="11"/>
    </row>
    <row r="211" spans="1:30" hidden="1" outlineLevel="1" x14ac:dyDescent="0.35">
      <c r="A211" s="75" t="str">
        <f t="shared" si="50"/>
        <v>No</v>
      </c>
      <c r="B211" s="75">
        <f t="shared" si="65"/>
        <v>7</v>
      </c>
      <c r="C211" s="76">
        <f t="shared" si="51"/>
        <v>0</v>
      </c>
      <c r="D211" s="77">
        <f t="shared" si="52"/>
        <v>43753</v>
      </c>
      <c r="E211" s="77" t="str">
        <f t="shared" si="56"/>
        <v>No</v>
      </c>
      <c r="F211" s="75">
        <f t="shared" si="57"/>
        <v>3</v>
      </c>
      <c r="G211" s="78">
        <f t="shared" si="58"/>
        <v>0</v>
      </c>
      <c r="H211" s="77">
        <f t="shared" si="66"/>
        <v>43845</v>
      </c>
      <c r="I211" s="77" t="str">
        <f t="shared" si="59"/>
        <v>No</v>
      </c>
      <c r="J211" s="75">
        <f t="shared" si="60"/>
        <v>1</v>
      </c>
      <c r="K211" s="78">
        <f t="shared" si="67"/>
        <v>0</v>
      </c>
      <c r="L211" s="12">
        <v>43671</v>
      </c>
      <c r="M211" s="57">
        <f t="shared" si="61"/>
        <v>25100000</v>
      </c>
      <c r="Q211" s="10">
        <f t="shared" si="70"/>
        <v>0.13</v>
      </c>
      <c r="R211" s="10">
        <f t="shared" si="69"/>
        <v>0</v>
      </c>
      <c r="S211" s="60">
        <f t="shared" si="62"/>
        <v>0.13</v>
      </c>
      <c r="T211" s="57">
        <f t="shared" si="63"/>
        <v>9063.8888888888887</v>
      </c>
      <c r="U211" s="57">
        <f t="shared" si="53"/>
        <v>1843441.6700000085</v>
      </c>
      <c r="V211" s="67">
        <f t="shared" si="54"/>
        <v>0</v>
      </c>
      <c r="Y211" s="97">
        <f t="shared" si="68"/>
        <v>0.13</v>
      </c>
      <c r="Z211" s="57">
        <f t="shared" si="55"/>
        <v>9063.8888888888887</v>
      </c>
      <c r="AA211" s="57">
        <f t="shared" si="64"/>
        <v>1751133.3333333402</v>
      </c>
      <c r="AD211" s="11"/>
    </row>
    <row r="212" spans="1:30" hidden="1" outlineLevel="1" x14ac:dyDescent="0.35">
      <c r="A212" s="75" t="str">
        <f t="shared" ref="A212:A275" si="71">IF(DAY(L212)=DAY(nFirst),"Yes","No")</f>
        <v>No</v>
      </c>
      <c r="B212" s="75">
        <f t="shared" si="65"/>
        <v>7</v>
      </c>
      <c r="C212" s="76">
        <f t="shared" ref="C212:C275" si="72">IF(A212="Yes",SUMIFS($T$20:$T$435,$B$20:$B$435,B212-1),0)</f>
        <v>0</v>
      </c>
      <c r="D212" s="77">
        <f t="shared" ref="D212:D275" si="73">IF(AND(L212&gt;L211,L212&lt;D211),D211,EDATE(L212,3))</f>
        <v>43753</v>
      </c>
      <c r="E212" s="77" t="str">
        <f t="shared" si="56"/>
        <v>No</v>
      </c>
      <c r="F212" s="75">
        <f t="shared" si="57"/>
        <v>3</v>
      </c>
      <c r="G212" s="78">
        <f t="shared" si="58"/>
        <v>0</v>
      </c>
      <c r="H212" s="77">
        <f t="shared" si="66"/>
        <v>43845</v>
      </c>
      <c r="I212" s="77" t="str">
        <f t="shared" si="59"/>
        <v>No</v>
      </c>
      <c r="J212" s="75">
        <f t="shared" si="60"/>
        <v>1</v>
      </c>
      <c r="K212" s="78">
        <f t="shared" si="67"/>
        <v>0</v>
      </c>
      <c r="L212" s="12">
        <v>43672</v>
      </c>
      <c r="M212" s="57">
        <f t="shared" si="61"/>
        <v>25100000</v>
      </c>
      <c r="Q212" s="10">
        <f t="shared" si="70"/>
        <v>0.13</v>
      </c>
      <c r="R212" s="10">
        <f t="shared" si="69"/>
        <v>0</v>
      </c>
      <c r="S212" s="60">
        <f t="shared" si="62"/>
        <v>0.13</v>
      </c>
      <c r="T212" s="57">
        <f t="shared" si="63"/>
        <v>9063.8888888888887</v>
      </c>
      <c r="U212" s="57">
        <f t="shared" ref="U212:U275" si="74">T212+U211+W211+X211</f>
        <v>1852505.5588888975</v>
      </c>
      <c r="V212" s="67">
        <f t="shared" ref="V212:V275" si="75">IF(rngFrequency="Monthly",C212,IF(rngFrequency="Quarterly",G212,IF(rngFrequency="Yearly",K212,FALSE)))</f>
        <v>0</v>
      </c>
      <c r="Y212" s="97">
        <f t="shared" si="68"/>
        <v>0.13</v>
      </c>
      <c r="Z212" s="57">
        <f t="shared" ref="Z212:Z275" si="76">M212*Y212*(1/360)</f>
        <v>9063.8888888888887</v>
      </c>
      <c r="AA212" s="57">
        <f t="shared" si="64"/>
        <v>1760197.2222222292</v>
      </c>
      <c r="AD212" s="11"/>
    </row>
    <row r="213" spans="1:30" hidden="1" outlineLevel="1" x14ac:dyDescent="0.35">
      <c r="A213" s="75" t="str">
        <f t="shared" si="71"/>
        <v>No</v>
      </c>
      <c r="B213" s="75">
        <f t="shared" si="65"/>
        <v>7</v>
      </c>
      <c r="C213" s="76">
        <f t="shared" si="72"/>
        <v>0</v>
      </c>
      <c r="D213" s="77">
        <f t="shared" si="73"/>
        <v>43753</v>
      </c>
      <c r="E213" s="77" t="str">
        <f t="shared" ref="E213:E276" si="77">IF(D213=D212,"No","Yes")</f>
        <v>No</v>
      </c>
      <c r="F213" s="75">
        <f t="shared" ref="F213:F276" si="78">IF(E213="Yes",F212+1,F212)</f>
        <v>3</v>
      </c>
      <c r="G213" s="78">
        <f t="shared" ref="G213:G276" si="79">IF(E213="Yes",SUMIFS($T$20:$T$435,$F$20:$F$435,F213-1),0)</f>
        <v>0</v>
      </c>
      <c r="H213" s="77">
        <f t="shared" si="66"/>
        <v>43845</v>
      </c>
      <c r="I213" s="77" t="str">
        <f t="shared" ref="I213:I276" si="80">IF(H213=H212,"No","Yes")</f>
        <v>No</v>
      </c>
      <c r="J213" s="75">
        <f t="shared" ref="J213:J276" si="81">IF(I213="Yes",J212+1,J212)</f>
        <v>1</v>
      </c>
      <c r="K213" s="78">
        <f t="shared" si="67"/>
        <v>0</v>
      </c>
      <c r="L213" s="12">
        <v>43673</v>
      </c>
      <c r="M213" s="57">
        <f t="shared" ref="M213:M276" si="82">M212+N213+O213+P213</f>
        <v>25100000</v>
      </c>
      <c r="Q213" s="10">
        <f t="shared" si="70"/>
        <v>0.13</v>
      </c>
      <c r="R213" s="10">
        <f t="shared" si="69"/>
        <v>0</v>
      </c>
      <c r="S213" s="60">
        <f t="shared" ref="S213:S276" si="83">Q213+R213</f>
        <v>0.13</v>
      </c>
      <c r="T213" s="57">
        <f t="shared" ref="T213:T276" si="84">M213*S213*(1/360)</f>
        <v>9063.8888888888887</v>
      </c>
      <c r="U213" s="57">
        <f t="shared" si="74"/>
        <v>1861569.4477777865</v>
      </c>
      <c r="V213" s="67">
        <f t="shared" si="75"/>
        <v>0</v>
      </c>
      <c r="Y213" s="97">
        <f t="shared" si="68"/>
        <v>0.13</v>
      </c>
      <c r="Z213" s="57">
        <f t="shared" si="76"/>
        <v>9063.8888888888887</v>
      </c>
      <c r="AA213" s="57">
        <f t="shared" ref="AA213:AA276" si="85">Z213+AA212+AB212+AC212</f>
        <v>1769261.1111111182</v>
      </c>
      <c r="AD213" s="11"/>
    </row>
    <row r="214" spans="1:30" hidden="1" outlineLevel="1" x14ac:dyDescent="0.35">
      <c r="A214" s="75" t="str">
        <f t="shared" si="71"/>
        <v>No</v>
      </c>
      <c r="B214" s="75">
        <f t="shared" ref="B214:B277" si="86">IF(A214="Yes",B213+1,B213)</f>
        <v>7</v>
      </c>
      <c r="C214" s="76">
        <f t="shared" si="72"/>
        <v>0</v>
      </c>
      <c r="D214" s="77">
        <f t="shared" si="73"/>
        <v>43753</v>
      </c>
      <c r="E214" s="77" t="str">
        <f t="shared" si="77"/>
        <v>No</v>
      </c>
      <c r="F214" s="75">
        <f t="shared" si="78"/>
        <v>3</v>
      </c>
      <c r="G214" s="78">
        <f t="shared" si="79"/>
        <v>0</v>
      </c>
      <c r="H214" s="77">
        <f t="shared" ref="H214:H277" si="87">IF(AND(L214&gt;L213,L214&lt;H213),H213,EDATE(L214,12))</f>
        <v>43845</v>
      </c>
      <c r="I214" s="77" t="str">
        <f t="shared" si="80"/>
        <v>No</v>
      </c>
      <c r="J214" s="75">
        <f t="shared" si="81"/>
        <v>1</v>
      </c>
      <c r="K214" s="78">
        <f t="shared" si="67"/>
        <v>0</v>
      </c>
      <c r="L214" s="12">
        <v>43674</v>
      </c>
      <c r="M214" s="57">
        <f t="shared" si="82"/>
        <v>25100000</v>
      </c>
      <c r="Q214" s="10">
        <f t="shared" si="70"/>
        <v>0.13</v>
      </c>
      <c r="R214" s="10">
        <f t="shared" si="69"/>
        <v>0</v>
      </c>
      <c r="S214" s="60">
        <f t="shared" si="83"/>
        <v>0.13</v>
      </c>
      <c r="T214" s="57">
        <f t="shared" si="84"/>
        <v>9063.8888888888887</v>
      </c>
      <c r="U214" s="57">
        <f t="shared" si="74"/>
        <v>1870633.3366666755</v>
      </c>
      <c r="V214" s="67">
        <f t="shared" si="75"/>
        <v>0</v>
      </c>
      <c r="Y214" s="97">
        <f t="shared" si="68"/>
        <v>0.13</v>
      </c>
      <c r="Z214" s="57">
        <f t="shared" si="76"/>
        <v>9063.8888888888887</v>
      </c>
      <c r="AA214" s="57">
        <f t="shared" si="85"/>
        <v>1778325.0000000072</v>
      </c>
      <c r="AD214" s="11"/>
    </row>
    <row r="215" spans="1:30" hidden="1" outlineLevel="1" x14ac:dyDescent="0.35">
      <c r="A215" s="75" t="str">
        <f t="shared" si="71"/>
        <v>No</v>
      </c>
      <c r="B215" s="75">
        <f t="shared" si="86"/>
        <v>7</v>
      </c>
      <c r="C215" s="76">
        <f t="shared" si="72"/>
        <v>0</v>
      </c>
      <c r="D215" s="77">
        <f t="shared" si="73"/>
        <v>43753</v>
      </c>
      <c r="E215" s="77" t="str">
        <f t="shared" si="77"/>
        <v>No</v>
      </c>
      <c r="F215" s="75">
        <f t="shared" si="78"/>
        <v>3</v>
      </c>
      <c r="G215" s="78">
        <f t="shared" si="79"/>
        <v>0</v>
      </c>
      <c r="H215" s="77">
        <f t="shared" si="87"/>
        <v>43845</v>
      </c>
      <c r="I215" s="77" t="str">
        <f t="shared" si="80"/>
        <v>No</v>
      </c>
      <c r="J215" s="75">
        <f t="shared" si="81"/>
        <v>1</v>
      </c>
      <c r="K215" s="78">
        <f t="shared" si="67"/>
        <v>0</v>
      </c>
      <c r="L215" s="12">
        <v>43675</v>
      </c>
      <c r="M215" s="57">
        <f t="shared" si="82"/>
        <v>25100000</v>
      </c>
      <c r="Q215" s="10">
        <f t="shared" si="70"/>
        <v>0.13</v>
      </c>
      <c r="R215" s="10">
        <f t="shared" si="69"/>
        <v>0</v>
      </c>
      <c r="S215" s="60">
        <f t="shared" si="83"/>
        <v>0.13</v>
      </c>
      <c r="T215" s="57">
        <f t="shared" si="84"/>
        <v>9063.8888888888887</v>
      </c>
      <c r="U215" s="57">
        <f t="shared" si="74"/>
        <v>1879697.2255555645</v>
      </c>
      <c r="V215" s="67">
        <f t="shared" si="75"/>
        <v>0</v>
      </c>
      <c r="Y215" s="97">
        <f t="shared" si="68"/>
        <v>0.13</v>
      </c>
      <c r="Z215" s="57">
        <f t="shared" si="76"/>
        <v>9063.8888888888887</v>
      </c>
      <c r="AA215" s="57">
        <f t="shared" si="85"/>
        <v>1787388.8888888962</v>
      </c>
      <c r="AD215" s="11"/>
    </row>
    <row r="216" spans="1:30" hidden="1" outlineLevel="1" x14ac:dyDescent="0.35">
      <c r="A216" s="75" t="str">
        <f t="shared" si="71"/>
        <v>No</v>
      </c>
      <c r="B216" s="75">
        <f t="shared" si="86"/>
        <v>7</v>
      </c>
      <c r="C216" s="76">
        <f t="shared" si="72"/>
        <v>0</v>
      </c>
      <c r="D216" s="77">
        <f t="shared" si="73"/>
        <v>43753</v>
      </c>
      <c r="E216" s="77" t="str">
        <f t="shared" si="77"/>
        <v>No</v>
      </c>
      <c r="F216" s="75">
        <f t="shared" si="78"/>
        <v>3</v>
      </c>
      <c r="G216" s="78">
        <f t="shared" si="79"/>
        <v>0</v>
      </c>
      <c r="H216" s="77">
        <f t="shared" si="87"/>
        <v>43845</v>
      </c>
      <c r="I216" s="77" t="str">
        <f t="shared" si="80"/>
        <v>No</v>
      </c>
      <c r="J216" s="75">
        <f t="shared" si="81"/>
        <v>1</v>
      </c>
      <c r="K216" s="78">
        <f t="shared" si="67"/>
        <v>0</v>
      </c>
      <c r="L216" s="12">
        <v>43676</v>
      </c>
      <c r="M216" s="57">
        <f t="shared" si="82"/>
        <v>25100000</v>
      </c>
      <c r="Q216" s="10">
        <f t="shared" si="70"/>
        <v>0.13</v>
      </c>
      <c r="R216" s="10">
        <f t="shared" si="69"/>
        <v>0</v>
      </c>
      <c r="S216" s="60">
        <f t="shared" si="83"/>
        <v>0.13</v>
      </c>
      <c r="T216" s="57">
        <f t="shared" si="84"/>
        <v>9063.8888888888887</v>
      </c>
      <c r="U216" s="57">
        <f t="shared" si="74"/>
        <v>1888761.1144444535</v>
      </c>
      <c r="V216" s="67">
        <f t="shared" si="75"/>
        <v>0</v>
      </c>
      <c r="Y216" s="97">
        <f t="shared" si="68"/>
        <v>0.13</v>
      </c>
      <c r="Z216" s="57">
        <f t="shared" si="76"/>
        <v>9063.8888888888887</v>
      </c>
      <c r="AA216" s="57">
        <f t="shared" si="85"/>
        <v>1796452.7777777852</v>
      </c>
      <c r="AD216" s="11"/>
    </row>
    <row r="217" spans="1:30" hidden="1" outlineLevel="1" x14ac:dyDescent="0.35">
      <c r="A217" s="75" t="str">
        <f t="shared" si="71"/>
        <v>No</v>
      </c>
      <c r="B217" s="75">
        <f t="shared" si="86"/>
        <v>7</v>
      </c>
      <c r="C217" s="76">
        <f t="shared" si="72"/>
        <v>0</v>
      </c>
      <c r="D217" s="77">
        <f t="shared" si="73"/>
        <v>43753</v>
      </c>
      <c r="E217" s="77" t="str">
        <f t="shared" si="77"/>
        <v>No</v>
      </c>
      <c r="F217" s="75">
        <f t="shared" si="78"/>
        <v>3</v>
      </c>
      <c r="G217" s="78">
        <f t="shared" si="79"/>
        <v>0</v>
      </c>
      <c r="H217" s="77">
        <f t="shared" si="87"/>
        <v>43845</v>
      </c>
      <c r="I217" s="77" t="str">
        <f t="shared" si="80"/>
        <v>No</v>
      </c>
      <c r="J217" s="75">
        <f t="shared" si="81"/>
        <v>1</v>
      </c>
      <c r="K217" s="78">
        <f t="shared" si="67"/>
        <v>0</v>
      </c>
      <c r="L217" s="12">
        <v>43677</v>
      </c>
      <c r="M217" s="57">
        <f t="shared" si="82"/>
        <v>25100000</v>
      </c>
      <c r="Q217" s="10">
        <f t="shared" si="70"/>
        <v>0.13</v>
      </c>
      <c r="R217" s="10">
        <f t="shared" si="69"/>
        <v>0</v>
      </c>
      <c r="S217" s="60">
        <f t="shared" si="83"/>
        <v>0.13</v>
      </c>
      <c r="T217" s="57">
        <f t="shared" si="84"/>
        <v>9063.8888888888887</v>
      </c>
      <c r="U217" s="57">
        <f t="shared" si="74"/>
        <v>1897825.0033333425</v>
      </c>
      <c r="V217" s="67">
        <f t="shared" si="75"/>
        <v>0</v>
      </c>
      <c r="Y217" s="97">
        <f t="shared" si="68"/>
        <v>0.13</v>
      </c>
      <c r="Z217" s="57">
        <f t="shared" si="76"/>
        <v>9063.8888888888887</v>
      </c>
      <c r="AA217" s="57">
        <f t="shared" si="85"/>
        <v>1805516.6666666742</v>
      </c>
      <c r="AD217" s="11"/>
    </row>
    <row r="218" spans="1:30" hidden="1" outlineLevel="1" x14ac:dyDescent="0.35">
      <c r="A218" s="75" t="str">
        <f t="shared" si="71"/>
        <v>No</v>
      </c>
      <c r="B218" s="75">
        <f t="shared" si="86"/>
        <v>7</v>
      </c>
      <c r="C218" s="76">
        <f t="shared" si="72"/>
        <v>0</v>
      </c>
      <c r="D218" s="77">
        <f t="shared" si="73"/>
        <v>43753</v>
      </c>
      <c r="E218" s="77" t="str">
        <f t="shared" si="77"/>
        <v>No</v>
      </c>
      <c r="F218" s="75">
        <f t="shared" si="78"/>
        <v>3</v>
      </c>
      <c r="G218" s="78">
        <f t="shared" si="79"/>
        <v>0</v>
      </c>
      <c r="H218" s="77">
        <f t="shared" si="87"/>
        <v>43845</v>
      </c>
      <c r="I218" s="77" t="str">
        <f t="shared" si="80"/>
        <v>No</v>
      </c>
      <c r="J218" s="75">
        <f t="shared" si="81"/>
        <v>1</v>
      </c>
      <c r="K218" s="78">
        <f t="shared" si="67"/>
        <v>0</v>
      </c>
      <c r="L218" s="12">
        <v>43678</v>
      </c>
      <c r="M218" s="57">
        <f t="shared" si="82"/>
        <v>25100000</v>
      </c>
      <c r="Q218" s="10">
        <f t="shared" si="70"/>
        <v>0.13</v>
      </c>
      <c r="R218" s="10">
        <f t="shared" si="69"/>
        <v>0</v>
      </c>
      <c r="S218" s="60">
        <f t="shared" si="83"/>
        <v>0.13</v>
      </c>
      <c r="T218" s="57">
        <f t="shared" si="84"/>
        <v>9063.8888888888887</v>
      </c>
      <c r="U218" s="57">
        <f t="shared" si="74"/>
        <v>1906888.8922222315</v>
      </c>
      <c r="V218" s="67">
        <f t="shared" si="75"/>
        <v>0</v>
      </c>
      <c r="Y218" s="97">
        <f t="shared" si="68"/>
        <v>0.13</v>
      </c>
      <c r="Z218" s="57">
        <f t="shared" si="76"/>
        <v>9063.8888888888887</v>
      </c>
      <c r="AA218" s="57">
        <f t="shared" si="85"/>
        <v>1814580.5555555632</v>
      </c>
      <c r="AD218" s="11"/>
    </row>
    <row r="219" spans="1:30" hidden="1" outlineLevel="1" x14ac:dyDescent="0.35">
      <c r="A219" s="75" t="str">
        <f t="shared" si="71"/>
        <v>No</v>
      </c>
      <c r="B219" s="75">
        <f t="shared" si="86"/>
        <v>7</v>
      </c>
      <c r="C219" s="76">
        <f t="shared" si="72"/>
        <v>0</v>
      </c>
      <c r="D219" s="77">
        <f t="shared" si="73"/>
        <v>43753</v>
      </c>
      <c r="E219" s="77" t="str">
        <f t="shared" si="77"/>
        <v>No</v>
      </c>
      <c r="F219" s="75">
        <f t="shared" si="78"/>
        <v>3</v>
      </c>
      <c r="G219" s="78">
        <f t="shared" si="79"/>
        <v>0</v>
      </c>
      <c r="H219" s="77">
        <f t="shared" si="87"/>
        <v>43845</v>
      </c>
      <c r="I219" s="77" t="str">
        <f t="shared" si="80"/>
        <v>No</v>
      </c>
      <c r="J219" s="75">
        <f t="shared" si="81"/>
        <v>1</v>
      </c>
      <c r="K219" s="78">
        <f t="shared" si="67"/>
        <v>0</v>
      </c>
      <c r="L219" s="12">
        <v>43679</v>
      </c>
      <c r="M219" s="57">
        <f t="shared" si="82"/>
        <v>25100000</v>
      </c>
      <c r="Q219" s="10">
        <f t="shared" si="70"/>
        <v>0.13</v>
      </c>
      <c r="R219" s="10">
        <f t="shared" si="69"/>
        <v>0</v>
      </c>
      <c r="S219" s="60">
        <f t="shared" si="83"/>
        <v>0.13</v>
      </c>
      <c r="T219" s="57">
        <f t="shared" si="84"/>
        <v>9063.8888888888887</v>
      </c>
      <c r="U219" s="57">
        <f t="shared" si="74"/>
        <v>1915952.7811111205</v>
      </c>
      <c r="V219" s="67">
        <f t="shared" si="75"/>
        <v>0</v>
      </c>
      <c r="Y219" s="97">
        <f t="shared" si="68"/>
        <v>0.13</v>
      </c>
      <c r="Z219" s="57">
        <f t="shared" si="76"/>
        <v>9063.8888888888887</v>
      </c>
      <c r="AA219" s="57">
        <f t="shared" si="85"/>
        <v>1823644.4444444522</v>
      </c>
      <c r="AD219" s="11"/>
    </row>
    <row r="220" spans="1:30" hidden="1" outlineLevel="1" x14ac:dyDescent="0.35">
      <c r="A220" s="75" t="str">
        <f t="shared" si="71"/>
        <v>No</v>
      </c>
      <c r="B220" s="75">
        <f t="shared" si="86"/>
        <v>7</v>
      </c>
      <c r="C220" s="76">
        <f t="shared" si="72"/>
        <v>0</v>
      </c>
      <c r="D220" s="77">
        <f t="shared" si="73"/>
        <v>43753</v>
      </c>
      <c r="E220" s="77" t="str">
        <f t="shared" si="77"/>
        <v>No</v>
      </c>
      <c r="F220" s="75">
        <f t="shared" si="78"/>
        <v>3</v>
      </c>
      <c r="G220" s="78">
        <f t="shared" si="79"/>
        <v>0</v>
      </c>
      <c r="H220" s="77">
        <f t="shared" si="87"/>
        <v>43845</v>
      </c>
      <c r="I220" s="77" t="str">
        <f t="shared" si="80"/>
        <v>No</v>
      </c>
      <c r="J220" s="75">
        <f t="shared" si="81"/>
        <v>1</v>
      </c>
      <c r="K220" s="78">
        <f t="shared" si="67"/>
        <v>0</v>
      </c>
      <c r="L220" s="12">
        <v>43680</v>
      </c>
      <c r="M220" s="57">
        <f t="shared" si="82"/>
        <v>25100000</v>
      </c>
      <c r="Q220" s="10">
        <f t="shared" si="70"/>
        <v>0.13</v>
      </c>
      <c r="R220" s="10">
        <f t="shared" si="69"/>
        <v>0</v>
      </c>
      <c r="S220" s="60">
        <f t="shared" si="83"/>
        <v>0.13</v>
      </c>
      <c r="T220" s="57">
        <f t="shared" si="84"/>
        <v>9063.8888888888887</v>
      </c>
      <c r="U220" s="57">
        <f t="shared" si="74"/>
        <v>1925016.6700000095</v>
      </c>
      <c r="V220" s="67">
        <f t="shared" si="75"/>
        <v>0</v>
      </c>
      <c r="Y220" s="97">
        <f t="shared" si="68"/>
        <v>0.13</v>
      </c>
      <c r="Z220" s="57">
        <f t="shared" si="76"/>
        <v>9063.8888888888887</v>
      </c>
      <c r="AA220" s="57">
        <f t="shared" si="85"/>
        <v>1832708.3333333412</v>
      </c>
      <c r="AD220" s="11"/>
    </row>
    <row r="221" spans="1:30" hidden="1" outlineLevel="1" x14ac:dyDescent="0.35">
      <c r="A221" s="75" t="str">
        <f t="shared" si="71"/>
        <v>No</v>
      </c>
      <c r="B221" s="75">
        <f t="shared" si="86"/>
        <v>7</v>
      </c>
      <c r="C221" s="76">
        <f t="shared" si="72"/>
        <v>0</v>
      </c>
      <c r="D221" s="77">
        <f t="shared" si="73"/>
        <v>43753</v>
      </c>
      <c r="E221" s="77" t="str">
        <f t="shared" si="77"/>
        <v>No</v>
      </c>
      <c r="F221" s="75">
        <f t="shared" si="78"/>
        <v>3</v>
      </c>
      <c r="G221" s="78">
        <f t="shared" si="79"/>
        <v>0</v>
      </c>
      <c r="H221" s="77">
        <f t="shared" si="87"/>
        <v>43845</v>
      </c>
      <c r="I221" s="77" t="str">
        <f t="shared" si="80"/>
        <v>No</v>
      </c>
      <c r="J221" s="75">
        <f t="shared" si="81"/>
        <v>1</v>
      </c>
      <c r="K221" s="78">
        <f t="shared" ref="K221:K284" si="88">IF(I221="Yes",SUMIFS($T$20:$T$435,$J$20:$J$435,J221-1),0)</f>
        <v>0</v>
      </c>
      <c r="L221" s="12">
        <v>43681</v>
      </c>
      <c r="M221" s="57">
        <f t="shared" si="82"/>
        <v>25100000</v>
      </c>
      <c r="Q221" s="10">
        <f t="shared" si="70"/>
        <v>0.13</v>
      </c>
      <c r="R221" s="10">
        <f t="shared" si="69"/>
        <v>0</v>
      </c>
      <c r="S221" s="60">
        <f t="shared" si="83"/>
        <v>0.13</v>
      </c>
      <c r="T221" s="57">
        <f t="shared" si="84"/>
        <v>9063.8888888888887</v>
      </c>
      <c r="U221" s="57">
        <f t="shared" si="74"/>
        <v>1934080.5588888985</v>
      </c>
      <c r="V221" s="67">
        <f t="shared" si="75"/>
        <v>0</v>
      </c>
      <c r="Y221" s="97">
        <f t="shared" si="68"/>
        <v>0.13</v>
      </c>
      <c r="Z221" s="57">
        <f t="shared" si="76"/>
        <v>9063.8888888888887</v>
      </c>
      <c r="AA221" s="57">
        <f t="shared" si="85"/>
        <v>1841772.2222222302</v>
      </c>
      <c r="AD221" s="11"/>
    </row>
    <row r="222" spans="1:30" hidden="1" outlineLevel="1" x14ac:dyDescent="0.35">
      <c r="A222" s="75" t="str">
        <f t="shared" si="71"/>
        <v>No</v>
      </c>
      <c r="B222" s="75">
        <f t="shared" si="86"/>
        <v>7</v>
      </c>
      <c r="C222" s="76">
        <f t="shared" si="72"/>
        <v>0</v>
      </c>
      <c r="D222" s="77">
        <f t="shared" si="73"/>
        <v>43753</v>
      </c>
      <c r="E222" s="77" t="str">
        <f t="shared" si="77"/>
        <v>No</v>
      </c>
      <c r="F222" s="75">
        <f t="shared" si="78"/>
        <v>3</v>
      </c>
      <c r="G222" s="78">
        <f t="shared" si="79"/>
        <v>0</v>
      </c>
      <c r="H222" s="77">
        <f t="shared" si="87"/>
        <v>43845</v>
      </c>
      <c r="I222" s="77" t="str">
        <f t="shared" si="80"/>
        <v>No</v>
      </c>
      <c r="J222" s="75">
        <f t="shared" si="81"/>
        <v>1</v>
      </c>
      <c r="K222" s="78">
        <f t="shared" si="88"/>
        <v>0</v>
      </c>
      <c r="L222" s="12">
        <v>43682</v>
      </c>
      <c r="M222" s="57">
        <f t="shared" si="82"/>
        <v>25100000</v>
      </c>
      <c r="Q222" s="10">
        <f t="shared" si="70"/>
        <v>0.13</v>
      </c>
      <c r="R222" s="10">
        <f t="shared" si="69"/>
        <v>0</v>
      </c>
      <c r="S222" s="60">
        <f t="shared" si="83"/>
        <v>0.13</v>
      </c>
      <c r="T222" s="57">
        <f t="shared" si="84"/>
        <v>9063.8888888888887</v>
      </c>
      <c r="U222" s="57">
        <f t="shared" si="74"/>
        <v>1943144.4477777875</v>
      </c>
      <c r="V222" s="67">
        <f t="shared" si="75"/>
        <v>0</v>
      </c>
      <c r="Y222" s="97">
        <f t="shared" si="68"/>
        <v>0.13</v>
      </c>
      <c r="Z222" s="57">
        <f t="shared" si="76"/>
        <v>9063.8888888888887</v>
      </c>
      <c r="AA222" s="57">
        <f t="shared" si="85"/>
        <v>1850836.1111111192</v>
      </c>
      <c r="AD222" s="11"/>
    </row>
    <row r="223" spans="1:30" hidden="1" outlineLevel="1" x14ac:dyDescent="0.35">
      <c r="A223" s="75" t="str">
        <f t="shared" si="71"/>
        <v>No</v>
      </c>
      <c r="B223" s="75">
        <f t="shared" si="86"/>
        <v>7</v>
      </c>
      <c r="C223" s="76">
        <f t="shared" si="72"/>
        <v>0</v>
      </c>
      <c r="D223" s="77">
        <f t="shared" si="73"/>
        <v>43753</v>
      </c>
      <c r="E223" s="77" t="str">
        <f t="shared" si="77"/>
        <v>No</v>
      </c>
      <c r="F223" s="75">
        <f t="shared" si="78"/>
        <v>3</v>
      </c>
      <c r="G223" s="78">
        <f t="shared" si="79"/>
        <v>0</v>
      </c>
      <c r="H223" s="77">
        <f t="shared" si="87"/>
        <v>43845</v>
      </c>
      <c r="I223" s="77" t="str">
        <f t="shared" si="80"/>
        <v>No</v>
      </c>
      <c r="J223" s="75">
        <f t="shared" si="81"/>
        <v>1</v>
      </c>
      <c r="K223" s="78">
        <f t="shared" si="88"/>
        <v>0</v>
      </c>
      <c r="L223" s="12">
        <v>43683</v>
      </c>
      <c r="M223" s="57">
        <f t="shared" si="82"/>
        <v>25100000</v>
      </c>
      <c r="Q223" s="10">
        <f t="shared" si="70"/>
        <v>0.13</v>
      </c>
      <c r="R223" s="10">
        <f t="shared" si="69"/>
        <v>0</v>
      </c>
      <c r="S223" s="60">
        <f t="shared" si="83"/>
        <v>0.13</v>
      </c>
      <c r="T223" s="57">
        <f t="shared" si="84"/>
        <v>9063.8888888888887</v>
      </c>
      <c r="U223" s="57">
        <f t="shared" si="74"/>
        <v>1952208.3366666764</v>
      </c>
      <c r="V223" s="67">
        <f t="shared" si="75"/>
        <v>0</v>
      </c>
      <c r="Y223" s="97">
        <f t="shared" si="68"/>
        <v>0.13</v>
      </c>
      <c r="Z223" s="57">
        <f t="shared" si="76"/>
        <v>9063.8888888888887</v>
      </c>
      <c r="AA223" s="57">
        <f t="shared" si="85"/>
        <v>1859900.0000000081</v>
      </c>
      <c r="AD223" s="11"/>
    </row>
    <row r="224" spans="1:30" hidden="1" outlineLevel="1" x14ac:dyDescent="0.35">
      <c r="A224" s="75" t="str">
        <f t="shared" si="71"/>
        <v>No</v>
      </c>
      <c r="B224" s="75">
        <f t="shared" si="86"/>
        <v>7</v>
      </c>
      <c r="C224" s="76">
        <f t="shared" si="72"/>
        <v>0</v>
      </c>
      <c r="D224" s="77">
        <f t="shared" si="73"/>
        <v>43753</v>
      </c>
      <c r="E224" s="77" t="str">
        <f t="shared" si="77"/>
        <v>No</v>
      </c>
      <c r="F224" s="75">
        <f t="shared" si="78"/>
        <v>3</v>
      </c>
      <c r="G224" s="78">
        <f t="shared" si="79"/>
        <v>0</v>
      </c>
      <c r="H224" s="77">
        <f t="shared" si="87"/>
        <v>43845</v>
      </c>
      <c r="I224" s="77" t="str">
        <f t="shared" si="80"/>
        <v>No</v>
      </c>
      <c r="J224" s="75">
        <f t="shared" si="81"/>
        <v>1</v>
      </c>
      <c r="K224" s="78">
        <f t="shared" si="88"/>
        <v>0</v>
      </c>
      <c r="L224" s="12">
        <v>43684</v>
      </c>
      <c r="M224" s="57">
        <f t="shared" si="82"/>
        <v>25100000</v>
      </c>
      <c r="Q224" s="10">
        <f t="shared" si="70"/>
        <v>0.13</v>
      </c>
      <c r="R224" s="10">
        <f t="shared" si="69"/>
        <v>0</v>
      </c>
      <c r="S224" s="60">
        <f t="shared" si="83"/>
        <v>0.13</v>
      </c>
      <c r="T224" s="57">
        <f t="shared" si="84"/>
        <v>9063.8888888888887</v>
      </c>
      <c r="U224" s="57">
        <f t="shared" si="74"/>
        <v>1961272.2255555654</v>
      </c>
      <c r="V224" s="67">
        <f t="shared" si="75"/>
        <v>0</v>
      </c>
      <c r="Y224" s="97">
        <f t="shared" si="68"/>
        <v>0.13</v>
      </c>
      <c r="Z224" s="57">
        <f t="shared" si="76"/>
        <v>9063.8888888888887</v>
      </c>
      <c r="AA224" s="57">
        <f t="shared" si="85"/>
        <v>1868963.8888888971</v>
      </c>
      <c r="AD224" s="11"/>
    </row>
    <row r="225" spans="1:30" hidden="1" outlineLevel="1" x14ac:dyDescent="0.35">
      <c r="A225" s="75" t="str">
        <f t="shared" si="71"/>
        <v>No</v>
      </c>
      <c r="B225" s="75">
        <f t="shared" si="86"/>
        <v>7</v>
      </c>
      <c r="C225" s="76">
        <f t="shared" si="72"/>
        <v>0</v>
      </c>
      <c r="D225" s="77">
        <f t="shared" si="73"/>
        <v>43753</v>
      </c>
      <c r="E225" s="77" t="str">
        <f t="shared" si="77"/>
        <v>No</v>
      </c>
      <c r="F225" s="75">
        <f t="shared" si="78"/>
        <v>3</v>
      </c>
      <c r="G225" s="78">
        <f t="shared" si="79"/>
        <v>0</v>
      </c>
      <c r="H225" s="77">
        <f t="shared" si="87"/>
        <v>43845</v>
      </c>
      <c r="I225" s="77" t="str">
        <f t="shared" si="80"/>
        <v>No</v>
      </c>
      <c r="J225" s="75">
        <f t="shared" si="81"/>
        <v>1</v>
      </c>
      <c r="K225" s="78">
        <f t="shared" si="88"/>
        <v>0</v>
      </c>
      <c r="L225" s="12">
        <v>43685</v>
      </c>
      <c r="M225" s="57">
        <f t="shared" si="82"/>
        <v>25100000</v>
      </c>
      <c r="Q225" s="10">
        <f t="shared" si="70"/>
        <v>0.13</v>
      </c>
      <c r="R225" s="10">
        <f t="shared" si="69"/>
        <v>0</v>
      </c>
      <c r="S225" s="60">
        <f t="shared" si="83"/>
        <v>0.13</v>
      </c>
      <c r="T225" s="57">
        <f t="shared" si="84"/>
        <v>9063.8888888888887</v>
      </c>
      <c r="U225" s="57">
        <f t="shared" si="74"/>
        <v>1970336.1144444544</v>
      </c>
      <c r="V225" s="67">
        <f t="shared" si="75"/>
        <v>0</v>
      </c>
      <c r="Y225" s="97">
        <f t="shared" si="68"/>
        <v>0.13</v>
      </c>
      <c r="Z225" s="57">
        <f t="shared" si="76"/>
        <v>9063.8888888888887</v>
      </c>
      <c r="AA225" s="57">
        <f t="shared" si="85"/>
        <v>1878027.7777777861</v>
      </c>
      <c r="AD225" s="11"/>
    </row>
    <row r="226" spans="1:30" hidden="1" outlineLevel="1" x14ac:dyDescent="0.35">
      <c r="A226" s="75" t="str">
        <f t="shared" si="71"/>
        <v>No</v>
      </c>
      <c r="B226" s="75">
        <f t="shared" si="86"/>
        <v>7</v>
      </c>
      <c r="C226" s="76">
        <f t="shared" si="72"/>
        <v>0</v>
      </c>
      <c r="D226" s="77">
        <f t="shared" si="73"/>
        <v>43753</v>
      </c>
      <c r="E226" s="77" t="str">
        <f t="shared" si="77"/>
        <v>No</v>
      </c>
      <c r="F226" s="75">
        <f t="shared" si="78"/>
        <v>3</v>
      </c>
      <c r="G226" s="78">
        <f t="shared" si="79"/>
        <v>0</v>
      </c>
      <c r="H226" s="77">
        <f t="shared" si="87"/>
        <v>43845</v>
      </c>
      <c r="I226" s="77" t="str">
        <f t="shared" si="80"/>
        <v>No</v>
      </c>
      <c r="J226" s="75">
        <f t="shared" si="81"/>
        <v>1</v>
      </c>
      <c r="K226" s="78">
        <f t="shared" si="88"/>
        <v>0</v>
      </c>
      <c r="L226" s="12">
        <v>43686</v>
      </c>
      <c r="M226" s="57">
        <f t="shared" si="82"/>
        <v>25100000</v>
      </c>
      <c r="Q226" s="10">
        <f t="shared" si="70"/>
        <v>0.13</v>
      </c>
      <c r="R226" s="10">
        <f t="shared" si="69"/>
        <v>0</v>
      </c>
      <c r="S226" s="60">
        <f t="shared" si="83"/>
        <v>0.13</v>
      </c>
      <c r="T226" s="57">
        <f t="shared" si="84"/>
        <v>9063.8888888888887</v>
      </c>
      <c r="U226" s="57">
        <f t="shared" si="74"/>
        <v>1979400.0033333434</v>
      </c>
      <c r="V226" s="67">
        <f t="shared" si="75"/>
        <v>0</v>
      </c>
      <c r="Y226" s="97">
        <f t="shared" si="68"/>
        <v>0.13</v>
      </c>
      <c r="Z226" s="57">
        <f t="shared" si="76"/>
        <v>9063.8888888888887</v>
      </c>
      <c r="AA226" s="57">
        <f t="shared" si="85"/>
        <v>1887091.6666666751</v>
      </c>
      <c r="AD226" s="11"/>
    </row>
    <row r="227" spans="1:30" hidden="1" outlineLevel="1" x14ac:dyDescent="0.35">
      <c r="A227" s="75" t="str">
        <f t="shared" si="71"/>
        <v>No</v>
      </c>
      <c r="B227" s="75">
        <f t="shared" si="86"/>
        <v>7</v>
      </c>
      <c r="C227" s="76">
        <f t="shared" si="72"/>
        <v>0</v>
      </c>
      <c r="D227" s="77">
        <f t="shared" si="73"/>
        <v>43753</v>
      </c>
      <c r="E227" s="77" t="str">
        <f t="shared" si="77"/>
        <v>No</v>
      </c>
      <c r="F227" s="75">
        <f t="shared" si="78"/>
        <v>3</v>
      </c>
      <c r="G227" s="78">
        <f t="shared" si="79"/>
        <v>0</v>
      </c>
      <c r="H227" s="77">
        <f t="shared" si="87"/>
        <v>43845</v>
      </c>
      <c r="I227" s="77" t="str">
        <f t="shared" si="80"/>
        <v>No</v>
      </c>
      <c r="J227" s="75">
        <f t="shared" si="81"/>
        <v>1</v>
      </c>
      <c r="K227" s="78">
        <f t="shared" si="88"/>
        <v>0</v>
      </c>
      <c r="L227" s="12">
        <v>43687</v>
      </c>
      <c r="M227" s="57">
        <f t="shared" si="82"/>
        <v>25100000</v>
      </c>
      <c r="Q227" s="10">
        <f t="shared" si="70"/>
        <v>0.13</v>
      </c>
      <c r="R227" s="10">
        <f t="shared" si="69"/>
        <v>0</v>
      </c>
      <c r="S227" s="60">
        <f t="shared" si="83"/>
        <v>0.13</v>
      </c>
      <c r="T227" s="57">
        <f t="shared" si="84"/>
        <v>9063.8888888888887</v>
      </c>
      <c r="U227" s="57">
        <f t="shared" si="74"/>
        <v>1988463.8922222324</v>
      </c>
      <c r="V227" s="67">
        <f t="shared" si="75"/>
        <v>0</v>
      </c>
      <c r="Y227" s="97">
        <f t="shared" si="68"/>
        <v>0.13</v>
      </c>
      <c r="Z227" s="57">
        <f t="shared" si="76"/>
        <v>9063.8888888888887</v>
      </c>
      <c r="AA227" s="57">
        <f t="shared" si="85"/>
        <v>1896155.5555555641</v>
      </c>
      <c r="AD227" s="11"/>
    </row>
    <row r="228" spans="1:30" hidden="1" outlineLevel="1" x14ac:dyDescent="0.35">
      <c r="A228" s="75" t="str">
        <f t="shared" si="71"/>
        <v>No</v>
      </c>
      <c r="B228" s="75">
        <f t="shared" si="86"/>
        <v>7</v>
      </c>
      <c r="C228" s="76">
        <f t="shared" si="72"/>
        <v>0</v>
      </c>
      <c r="D228" s="77">
        <f t="shared" si="73"/>
        <v>43753</v>
      </c>
      <c r="E228" s="77" t="str">
        <f t="shared" si="77"/>
        <v>No</v>
      </c>
      <c r="F228" s="75">
        <f t="shared" si="78"/>
        <v>3</v>
      </c>
      <c r="G228" s="78">
        <f t="shared" si="79"/>
        <v>0</v>
      </c>
      <c r="H228" s="77">
        <f t="shared" si="87"/>
        <v>43845</v>
      </c>
      <c r="I228" s="77" t="str">
        <f t="shared" si="80"/>
        <v>No</v>
      </c>
      <c r="J228" s="75">
        <f t="shared" si="81"/>
        <v>1</v>
      </c>
      <c r="K228" s="78">
        <f t="shared" si="88"/>
        <v>0</v>
      </c>
      <c r="L228" s="12">
        <v>43688</v>
      </c>
      <c r="M228" s="57">
        <f t="shared" si="82"/>
        <v>25100000</v>
      </c>
      <c r="Q228" s="10">
        <f t="shared" si="70"/>
        <v>0.13</v>
      </c>
      <c r="R228" s="10">
        <f t="shared" si="69"/>
        <v>0</v>
      </c>
      <c r="S228" s="60">
        <f t="shared" si="83"/>
        <v>0.13</v>
      </c>
      <c r="T228" s="57">
        <f t="shared" si="84"/>
        <v>9063.8888888888887</v>
      </c>
      <c r="U228" s="57">
        <f t="shared" si="74"/>
        <v>1997527.7811111214</v>
      </c>
      <c r="V228" s="67">
        <f t="shared" si="75"/>
        <v>0</v>
      </c>
      <c r="Y228" s="97">
        <f t="shared" si="68"/>
        <v>0.13</v>
      </c>
      <c r="Z228" s="57">
        <f t="shared" si="76"/>
        <v>9063.8888888888887</v>
      </c>
      <c r="AA228" s="57">
        <f t="shared" si="85"/>
        <v>1905219.4444444531</v>
      </c>
      <c r="AD228" s="11"/>
    </row>
    <row r="229" spans="1:30" hidden="1" outlineLevel="1" x14ac:dyDescent="0.35">
      <c r="A229" s="75" t="str">
        <f t="shared" si="71"/>
        <v>No</v>
      </c>
      <c r="B229" s="75">
        <f t="shared" si="86"/>
        <v>7</v>
      </c>
      <c r="C229" s="76">
        <f t="shared" si="72"/>
        <v>0</v>
      </c>
      <c r="D229" s="77">
        <f t="shared" si="73"/>
        <v>43753</v>
      </c>
      <c r="E229" s="77" t="str">
        <f t="shared" si="77"/>
        <v>No</v>
      </c>
      <c r="F229" s="75">
        <f t="shared" si="78"/>
        <v>3</v>
      </c>
      <c r="G229" s="78">
        <f t="shared" si="79"/>
        <v>0</v>
      </c>
      <c r="H229" s="77">
        <f t="shared" si="87"/>
        <v>43845</v>
      </c>
      <c r="I229" s="77" t="str">
        <f t="shared" si="80"/>
        <v>No</v>
      </c>
      <c r="J229" s="75">
        <f t="shared" si="81"/>
        <v>1</v>
      </c>
      <c r="K229" s="78">
        <f t="shared" si="88"/>
        <v>0</v>
      </c>
      <c r="L229" s="12">
        <v>43689</v>
      </c>
      <c r="M229" s="57">
        <f t="shared" si="82"/>
        <v>25100000</v>
      </c>
      <c r="Q229" s="10">
        <f t="shared" si="70"/>
        <v>0.13</v>
      </c>
      <c r="R229" s="10">
        <f t="shared" si="69"/>
        <v>0</v>
      </c>
      <c r="S229" s="60">
        <f t="shared" si="83"/>
        <v>0.13</v>
      </c>
      <c r="T229" s="57">
        <f t="shared" si="84"/>
        <v>9063.8888888888887</v>
      </c>
      <c r="U229" s="57">
        <f t="shared" si="74"/>
        <v>2006591.6700000104</v>
      </c>
      <c r="V229" s="67">
        <f t="shared" si="75"/>
        <v>0</v>
      </c>
      <c r="Y229" s="97">
        <f t="shared" si="68"/>
        <v>0.13</v>
      </c>
      <c r="Z229" s="57">
        <f t="shared" si="76"/>
        <v>9063.8888888888887</v>
      </c>
      <c r="AA229" s="57">
        <f t="shared" si="85"/>
        <v>1914283.3333333421</v>
      </c>
      <c r="AD229" s="11"/>
    </row>
    <row r="230" spans="1:30" hidden="1" outlineLevel="1" x14ac:dyDescent="0.35">
      <c r="A230" s="75" t="str">
        <f t="shared" si="71"/>
        <v>No</v>
      </c>
      <c r="B230" s="75">
        <f t="shared" si="86"/>
        <v>7</v>
      </c>
      <c r="C230" s="76">
        <f t="shared" si="72"/>
        <v>0</v>
      </c>
      <c r="D230" s="77">
        <f t="shared" si="73"/>
        <v>43753</v>
      </c>
      <c r="E230" s="77" t="str">
        <f t="shared" si="77"/>
        <v>No</v>
      </c>
      <c r="F230" s="75">
        <f t="shared" si="78"/>
        <v>3</v>
      </c>
      <c r="G230" s="78">
        <f t="shared" si="79"/>
        <v>0</v>
      </c>
      <c r="H230" s="77">
        <f t="shared" si="87"/>
        <v>43845</v>
      </c>
      <c r="I230" s="77" t="str">
        <f t="shared" si="80"/>
        <v>No</v>
      </c>
      <c r="J230" s="75">
        <f t="shared" si="81"/>
        <v>1</v>
      </c>
      <c r="K230" s="78">
        <f t="shared" si="88"/>
        <v>0</v>
      </c>
      <c r="L230" s="12">
        <v>43690</v>
      </c>
      <c r="M230" s="57">
        <f t="shared" si="82"/>
        <v>25100000</v>
      </c>
      <c r="Q230" s="10">
        <f t="shared" si="70"/>
        <v>0.13</v>
      </c>
      <c r="R230" s="10">
        <f t="shared" si="69"/>
        <v>0</v>
      </c>
      <c r="S230" s="60">
        <f t="shared" si="83"/>
        <v>0.13</v>
      </c>
      <c r="T230" s="57">
        <f t="shared" si="84"/>
        <v>9063.8888888888887</v>
      </c>
      <c r="U230" s="57">
        <f t="shared" si="74"/>
        <v>2015655.5588888994</v>
      </c>
      <c r="V230" s="67">
        <f t="shared" si="75"/>
        <v>0</v>
      </c>
      <c r="Y230" s="97">
        <f t="shared" ref="Y230:Y293" si="89">Y229</f>
        <v>0.13</v>
      </c>
      <c r="Z230" s="57">
        <f t="shared" si="76"/>
        <v>9063.8888888888887</v>
      </c>
      <c r="AA230" s="57">
        <f t="shared" si="85"/>
        <v>1923347.2222222311</v>
      </c>
      <c r="AD230" s="11"/>
    </row>
    <row r="231" spans="1:30" hidden="1" outlineLevel="1" x14ac:dyDescent="0.35">
      <c r="A231" s="75" t="str">
        <f t="shared" si="71"/>
        <v>No</v>
      </c>
      <c r="B231" s="75">
        <f t="shared" si="86"/>
        <v>7</v>
      </c>
      <c r="C231" s="76">
        <f t="shared" si="72"/>
        <v>0</v>
      </c>
      <c r="D231" s="77">
        <f t="shared" si="73"/>
        <v>43753</v>
      </c>
      <c r="E231" s="77" t="str">
        <f t="shared" si="77"/>
        <v>No</v>
      </c>
      <c r="F231" s="75">
        <f t="shared" si="78"/>
        <v>3</v>
      </c>
      <c r="G231" s="78">
        <f t="shared" si="79"/>
        <v>0</v>
      </c>
      <c r="H231" s="77">
        <f t="shared" si="87"/>
        <v>43845</v>
      </c>
      <c r="I231" s="77" t="str">
        <f t="shared" si="80"/>
        <v>No</v>
      </c>
      <c r="J231" s="75">
        <f t="shared" si="81"/>
        <v>1</v>
      </c>
      <c r="K231" s="78">
        <f t="shared" si="88"/>
        <v>0</v>
      </c>
      <c r="L231" s="12">
        <v>43691</v>
      </c>
      <c r="M231" s="57">
        <f t="shared" si="82"/>
        <v>25100000</v>
      </c>
      <c r="Q231" s="10">
        <f t="shared" si="70"/>
        <v>0.13</v>
      </c>
      <c r="R231" s="10">
        <f t="shared" si="69"/>
        <v>0</v>
      </c>
      <c r="S231" s="60">
        <f t="shared" si="83"/>
        <v>0.13</v>
      </c>
      <c r="T231" s="57">
        <f t="shared" si="84"/>
        <v>9063.8888888888887</v>
      </c>
      <c r="U231" s="57">
        <f t="shared" si="74"/>
        <v>2024719.4477777884</v>
      </c>
      <c r="V231" s="67">
        <f t="shared" si="75"/>
        <v>0</v>
      </c>
      <c r="Y231" s="97">
        <f t="shared" si="89"/>
        <v>0.13</v>
      </c>
      <c r="Z231" s="57">
        <f t="shared" si="76"/>
        <v>9063.8888888888887</v>
      </c>
      <c r="AA231" s="57">
        <f t="shared" si="85"/>
        <v>1932411.1111111201</v>
      </c>
      <c r="AD231" s="11"/>
    </row>
    <row r="232" spans="1:30" hidden="1" outlineLevel="1" x14ac:dyDescent="0.35">
      <c r="A232" s="75" t="str">
        <f t="shared" si="71"/>
        <v>Yes</v>
      </c>
      <c r="B232" s="75">
        <f t="shared" si="86"/>
        <v>8</v>
      </c>
      <c r="C232" s="76">
        <f t="shared" si="72"/>
        <v>280980.55555555539</v>
      </c>
      <c r="D232" s="77">
        <f t="shared" si="73"/>
        <v>43753</v>
      </c>
      <c r="E232" s="77" t="str">
        <f t="shared" si="77"/>
        <v>No</v>
      </c>
      <c r="F232" s="75">
        <f t="shared" si="78"/>
        <v>3</v>
      </c>
      <c r="G232" s="78">
        <f t="shared" si="79"/>
        <v>0</v>
      </c>
      <c r="H232" s="77">
        <f t="shared" si="87"/>
        <v>43845</v>
      </c>
      <c r="I232" s="77" t="str">
        <f t="shared" si="80"/>
        <v>No</v>
      </c>
      <c r="J232" s="75">
        <f t="shared" si="81"/>
        <v>1</v>
      </c>
      <c r="K232" s="78">
        <f t="shared" si="88"/>
        <v>0</v>
      </c>
      <c r="L232" s="12">
        <v>43692</v>
      </c>
      <c r="M232" s="57">
        <f t="shared" si="82"/>
        <v>25100000</v>
      </c>
      <c r="Q232" s="10">
        <f t="shared" si="70"/>
        <v>0.13</v>
      </c>
      <c r="R232" s="10">
        <f t="shared" si="69"/>
        <v>0</v>
      </c>
      <c r="S232" s="60">
        <f t="shared" si="83"/>
        <v>0.13</v>
      </c>
      <c r="T232" s="57">
        <f t="shared" si="84"/>
        <v>9063.8888888888887</v>
      </c>
      <c r="U232" s="57">
        <f t="shared" si="74"/>
        <v>2033783.3366666774</v>
      </c>
      <c r="V232" s="67">
        <f t="shared" si="75"/>
        <v>280980.55555555539</v>
      </c>
      <c r="Y232" s="97">
        <f t="shared" si="89"/>
        <v>0.13</v>
      </c>
      <c r="Z232" s="57">
        <f t="shared" si="76"/>
        <v>9063.8888888888887</v>
      </c>
      <c r="AA232" s="57">
        <f t="shared" si="85"/>
        <v>1941475.0000000091</v>
      </c>
      <c r="AD232" s="11"/>
    </row>
    <row r="233" spans="1:30" hidden="1" outlineLevel="1" x14ac:dyDescent="0.35">
      <c r="A233" s="75" t="str">
        <f t="shared" si="71"/>
        <v>No</v>
      </c>
      <c r="B233" s="75">
        <f t="shared" si="86"/>
        <v>8</v>
      </c>
      <c r="C233" s="76">
        <f t="shared" si="72"/>
        <v>0</v>
      </c>
      <c r="D233" s="77">
        <f t="shared" si="73"/>
        <v>43753</v>
      </c>
      <c r="E233" s="77" t="str">
        <f t="shared" si="77"/>
        <v>No</v>
      </c>
      <c r="F233" s="75">
        <f t="shared" si="78"/>
        <v>3</v>
      </c>
      <c r="G233" s="78">
        <f t="shared" si="79"/>
        <v>0</v>
      </c>
      <c r="H233" s="77">
        <f t="shared" si="87"/>
        <v>43845</v>
      </c>
      <c r="I233" s="77" t="str">
        <f t="shared" si="80"/>
        <v>No</v>
      </c>
      <c r="J233" s="75">
        <f t="shared" si="81"/>
        <v>1</v>
      </c>
      <c r="K233" s="78">
        <f t="shared" si="88"/>
        <v>0</v>
      </c>
      <c r="L233" s="12">
        <v>43693</v>
      </c>
      <c r="M233" s="57">
        <f t="shared" si="82"/>
        <v>25100000</v>
      </c>
      <c r="Q233" s="10">
        <f t="shared" si="70"/>
        <v>0.13</v>
      </c>
      <c r="R233" s="10">
        <f t="shared" si="69"/>
        <v>0</v>
      </c>
      <c r="S233" s="60">
        <f t="shared" si="83"/>
        <v>0.13</v>
      </c>
      <c r="T233" s="57">
        <f t="shared" si="84"/>
        <v>9063.8888888888887</v>
      </c>
      <c r="U233" s="57">
        <f t="shared" si="74"/>
        <v>2042847.2255555664</v>
      </c>
      <c r="V233" s="67">
        <f t="shared" si="75"/>
        <v>0</v>
      </c>
      <c r="Y233" s="97">
        <f t="shared" si="89"/>
        <v>0.13</v>
      </c>
      <c r="Z233" s="57">
        <f t="shared" si="76"/>
        <v>9063.8888888888887</v>
      </c>
      <c r="AA233" s="57">
        <f t="shared" si="85"/>
        <v>1950538.8888888981</v>
      </c>
      <c r="AD233" s="11"/>
    </row>
    <row r="234" spans="1:30" hidden="1" outlineLevel="1" x14ac:dyDescent="0.35">
      <c r="A234" s="75" t="str">
        <f t="shared" si="71"/>
        <v>No</v>
      </c>
      <c r="B234" s="75">
        <f t="shared" si="86"/>
        <v>8</v>
      </c>
      <c r="C234" s="76">
        <f t="shared" si="72"/>
        <v>0</v>
      </c>
      <c r="D234" s="77">
        <f t="shared" si="73"/>
        <v>43753</v>
      </c>
      <c r="E234" s="77" t="str">
        <f t="shared" si="77"/>
        <v>No</v>
      </c>
      <c r="F234" s="75">
        <f t="shared" si="78"/>
        <v>3</v>
      </c>
      <c r="G234" s="78">
        <f t="shared" si="79"/>
        <v>0</v>
      </c>
      <c r="H234" s="77">
        <f t="shared" si="87"/>
        <v>43845</v>
      </c>
      <c r="I234" s="77" t="str">
        <f t="shared" si="80"/>
        <v>No</v>
      </c>
      <c r="J234" s="75">
        <f t="shared" si="81"/>
        <v>1</v>
      </c>
      <c r="K234" s="78">
        <f t="shared" si="88"/>
        <v>0</v>
      </c>
      <c r="L234" s="12">
        <v>43694</v>
      </c>
      <c r="M234" s="57">
        <f t="shared" si="82"/>
        <v>25100000</v>
      </c>
      <c r="Q234" s="10">
        <f t="shared" si="70"/>
        <v>0.13</v>
      </c>
      <c r="R234" s="10">
        <f t="shared" si="69"/>
        <v>0</v>
      </c>
      <c r="S234" s="60">
        <f t="shared" si="83"/>
        <v>0.13</v>
      </c>
      <c r="T234" s="57">
        <f t="shared" si="84"/>
        <v>9063.8888888888887</v>
      </c>
      <c r="U234" s="57">
        <f t="shared" si="74"/>
        <v>2051911.1144444554</v>
      </c>
      <c r="V234" s="67">
        <f t="shared" si="75"/>
        <v>0</v>
      </c>
      <c r="Y234" s="97">
        <f t="shared" si="89"/>
        <v>0.13</v>
      </c>
      <c r="Z234" s="57">
        <f t="shared" si="76"/>
        <v>9063.8888888888887</v>
      </c>
      <c r="AA234" s="57">
        <f t="shared" si="85"/>
        <v>1959602.7777777871</v>
      </c>
      <c r="AD234" s="11"/>
    </row>
    <row r="235" spans="1:30" hidden="1" outlineLevel="1" x14ac:dyDescent="0.35">
      <c r="A235" s="75" t="str">
        <f t="shared" si="71"/>
        <v>No</v>
      </c>
      <c r="B235" s="75">
        <f t="shared" si="86"/>
        <v>8</v>
      </c>
      <c r="C235" s="76">
        <f t="shared" si="72"/>
        <v>0</v>
      </c>
      <c r="D235" s="77">
        <f t="shared" si="73"/>
        <v>43753</v>
      </c>
      <c r="E235" s="77" t="str">
        <f t="shared" si="77"/>
        <v>No</v>
      </c>
      <c r="F235" s="75">
        <f t="shared" si="78"/>
        <v>3</v>
      </c>
      <c r="G235" s="78">
        <f t="shared" si="79"/>
        <v>0</v>
      </c>
      <c r="H235" s="77">
        <f t="shared" si="87"/>
        <v>43845</v>
      </c>
      <c r="I235" s="77" t="str">
        <f t="shared" si="80"/>
        <v>No</v>
      </c>
      <c r="J235" s="75">
        <f t="shared" si="81"/>
        <v>1</v>
      </c>
      <c r="K235" s="78">
        <f t="shared" si="88"/>
        <v>0</v>
      </c>
      <c r="L235" s="12">
        <v>43695</v>
      </c>
      <c r="M235" s="57">
        <f t="shared" si="82"/>
        <v>25100000</v>
      </c>
      <c r="Q235" s="10">
        <f t="shared" si="70"/>
        <v>0.13</v>
      </c>
      <c r="R235" s="10">
        <f t="shared" si="69"/>
        <v>0</v>
      </c>
      <c r="S235" s="60">
        <f t="shared" si="83"/>
        <v>0.13</v>
      </c>
      <c r="T235" s="57">
        <f t="shared" si="84"/>
        <v>9063.8888888888887</v>
      </c>
      <c r="U235" s="57">
        <f t="shared" si="74"/>
        <v>2060975.0033333444</v>
      </c>
      <c r="V235" s="67">
        <f t="shared" si="75"/>
        <v>0</v>
      </c>
      <c r="Y235" s="97">
        <f t="shared" si="89"/>
        <v>0.13</v>
      </c>
      <c r="Z235" s="57">
        <f t="shared" si="76"/>
        <v>9063.8888888888887</v>
      </c>
      <c r="AA235" s="57">
        <f t="shared" si="85"/>
        <v>1968666.6666666761</v>
      </c>
      <c r="AD235" s="11"/>
    </row>
    <row r="236" spans="1:30" hidden="1" outlineLevel="1" x14ac:dyDescent="0.35">
      <c r="A236" s="75" t="str">
        <f t="shared" si="71"/>
        <v>No</v>
      </c>
      <c r="B236" s="75">
        <f t="shared" si="86"/>
        <v>8</v>
      </c>
      <c r="C236" s="76">
        <f t="shared" si="72"/>
        <v>0</v>
      </c>
      <c r="D236" s="77">
        <f t="shared" si="73"/>
        <v>43753</v>
      </c>
      <c r="E236" s="77" t="str">
        <f t="shared" si="77"/>
        <v>No</v>
      </c>
      <c r="F236" s="75">
        <f t="shared" si="78"/>
        <v>3</v>
      </c>
      <c r="G236" s="78">
        <f t="shared" si="79"/>
        <v>0</v>
      </c>
      <c r="H236" s="77">
        <f t="shared" si="87"/>
        <v>43845</v>
      </c>
      <c r="I236" s="77" t="str">
        <f t="shared" si="80"/>
        <v>No</v>
      </c>
      <c r="J236" s="75">
        <f t="shared" si="81"/>
        <v>1</v>
      </c>
      <c r="K236" s="78">
        <f t="shared" si="88"/>
        <v>0</v>
      </c>
      <c r="L236" s="12">
        <v>43696</v>
      </c>
      <c r="M236" s="57">
        <f t="shared" si="82"/>
        <v>25100000</v>
      </c>
      <c r="Q236" s="10">
        <f t="shared" si="70"/>
        <v>0.13</v>
      </c>
      <c r="R236" s="10">
        <f t="shared" si="69"/>
        <v>0</v>
      </c>
      <c r="S236" s="60">
        <f t="shared" si="83"/>
        <v>0.13</v>
      </c>
      <c r="T236" s="57">
        <f t="shared" si="84"/>
        <v>9063.8888888888887</v>
      </c>
      <c r="U236" s="57">
        <f t="shared" si="74"/>
        <v>2070038.8922222333</v>
      </c>
      <c r="V236" s="67">
        <f t="shared" si="75"/>
        <v>0</v>
      </c>
      <c r="Y236" s="97">
        <f t="shared" si="89"/>
        <v>0.13</v>
      </c>
      <c r="Z236" s="57">
        <f t="shared" si="76"/>
        <v>9063.8888888888887</v>
      </c>
      <c r="AA236" s="57">
        <f t="shared" si="85"/>
        <v>1977730.555555565</v>
      </c>
      <c r="AD236" s="11"/>
    </row>
    <row r="237" spans="1:30" hidden="1" outlineLevel="1" x14ac:dyDescent="0.35">
      <c r="A237" s="75" t="str">
        <f t="shared" si="71"/>
        <v>No</v>
      </c>
      <c r="B237" s="75">
        <f t="shared" si="86"/>
        <v>8</v>
      </c>
      <c r="C237" s="76">
        <f t="shared" si="72"/>
        <v>0</v>
      </c>
      <c r="D237" s="77">
        <f t="shared" si="73"/>
        <v>43753</v>
      </c>
      <c r="E237" s="77" t="str">
        <f t="shared" si="77"/>
        <v>No</v>
      </c>
      <c r="F237" s="75">
        <f t="shared" si="78"/>
        <v>3</v>
      </c>
      <c r="G237" s="78">
        <f t="shared" si="79"/>
        <v>0</v>
      </c>
      <c r="H237" s="77">
        <f t="shared" si="87"/>
        <v>43845</v>
      </c>
      <c r="I237" s="77" t="str">
        <f t="shared" si="80"/>
        <v>No</v>
      </c>
      <c r="J237" s="75">
        <f t="shared" si="81"/>
        <v>1</v>
      </c>
      <c r="K237" s="78">
        <f t="shared" si="88"/>
        <v>0</v>
      </c>
      <c r="L237" s="12">
        <v>43697</v>
      </c>
      <c r="M237" s="57">
        <f t="shared" si="82"/>
        <v>25100000</v>
      </c>
      <c r="Q237" s="10">
        <f t="shared" si="70"/>
        <v>0.13</v>
      </c>
      <c r="R237" s="10">
        <f t="shared" si="69"/>
        <v>0</v>
      </c>
      <c r="S237" s="60">
        <f t="shared" si="83"/>
        <v>0.13</v>
      </c>
      <c r="T237" s="57">
        <f t="shared" si="84"/>
        <v>9063.8888888888887</v>
      </c>
      <c r="U237" s="57">
        <f t="shared" si="74"/>
        <v>2079102.7811111223</v>
      </c>
      <c r="V237" s="67">
        <f t="shared" si="75"/>
        <v>0</v>
      </c>
      <c r="Y237" s="97">
        <f t="shared" si="89"/>
        <v>0.13</v>
      </c>
      <c r="Z237" s="57">
        <f t="shared" si="76"/>
        <v>9063.8888888888887</v>
      </c>
      <c r="AA237" s="57">
        <f t="shared" si="85"/>
        <v>1986794.444444454</v>
      </c>
      <c r="AD237" s="11"/>
    </row>
    <row r="238" spans="1:30" hidden="1" outlineLevel="1" x14ac:dyDescent="0.35">
      <c r="A238" s="75" t="str">
        <f t="shared" si="71"/>
        <v>No</v>
      </c>
      <c r="B238" s="75">
        <f t="shared" si="86"/>
        <v>8</v>
      </c>
      <c r="C238" s="76">
        <f t="shared" si="72"/>
        <v>0</v>
      </c>
      <c r="D238" s="77">
        <f t="shared" si="73"/>
        <v>43753</v>
      </c>
      <c r="E238" s="77" t="str">
        <f t="shared" si="77"/>
        <v>No</v>
      </c>
      <c r="F238" s="75">
        <f t="shared" si="78"/>
        <v>3</v>
      </c>
      <c r="G238" s="78">
        <f t="shared" si="79"/>
        <v>0</v>
      </c>
      <c r="H238" s="77">
        <f t="shared" si="87"/>
        <v>43845</v>
      </c>
      <c r="I238" s="77" t="str">
        <f t="shared" si="80"/>
        <v>No</v>
      </c>
      <c r="J238" s="75">
        <f t="shared" si="81"/>
        <v>1</v>
      </c>
      <c r="K238" s="78">
        <f t="shared" si="88"/>
        <v>0</v>
      </c>
      <c r="L238" s="12">
        <v>43698</v>
      </c>
      <c r="M238" s="57">
        <f t="shared" si="82"/>
        <v>25100000</v>
      </c>
      <c r="Q238" s="10">
        <f t="shared" si="70"/>
        <v>0.13</v>
      </c>
      <c r="R238" s="10">
        <f t="shared" si="69"/>
        <v>0</v>
      </c>
      <c r="S238" s="60">
        <f t="shared" si="83"/>
        <v>0.13</v>
      </c>
      <c r="T238" s="57">
        <f t="shared" si="84"/>
        <v>9063.8888888888887</v>
      </c>
      <c r="U238" s="57">
        <f t="shared" si="74"/>
        <v>2088166.6700000113</v>
      </c>
      <c r="V238" s="67">
        <f t="shared" si="75"/>
        <v>0</v>
      </c>
      <c r="Y238" s="97">
        <f t="shared" si="89"/>
        <v>0.13</v>
      </c>
      <c r="Z238" s="57">
        <f t="shared" si="76"/>
        <v>9063.8888888888887</v>
      </c>
      <c r="AA238" s="57">
        <f t="shared" si="85"/>
        <v>1995858.333333343</v>
      </c>
      <c r="AD238" s="11"/>
    </row>
    <row r="239" spans="1:30" hidden="1" outlineLevel="1" x14ac:dyDescent="0.35">
      <c r="A239" s="75" t="str">
        <f t="shared" si="71"/>
        <v>No</v>
      </c>
      <c r="B239" s="75">
        <f t="shared" si="86"/>
        <v>8</v>
      </c>
      <c r="C239" s="76">
        <f t="shared" si="72"/>
        <v>0</v>
      </c>
      <c r="D239" s="77">
        <f t="shared" si="73"/>
        <v>43753</v>
      </c>
      <c r="E239" s="77" t="str">
        <f t="shared" si="77"/>
        <v>No</v>
      </c>
      <c r="F239" s="75">
        <f t="shared" si="78"/>
        <v>3</v>
      </c>
      <c r="G239" s="78">
        <f t="shared" si="79"/>
        <v>0</v>
      </c>
      <c r="H239" s="77">
        <f t="shared" si="87"/>
        <v>43845</v>
      </c>
      <c r="I239" s="77" t="str">
        <f t="shared" si="80"/>
        <v>No</v>
      </c>
      <c r="J239" s="75">
        <f t="shared" si="81"/>
        <v>1</v>
      </c>
      <c r="K239" s="78">
        <f t="shared" si="88"/>
        <v>0</v>
      </c>
      <c r="L239" s="12">
        <v>43699</v>
      </c>
      <c r="M239" s="57">
        <f t="shared" si="82"/>
        <v>25100000</v>
      </c>
      <c r="Q239" s="10">
        <f t="shared" si="70"/>
        <v>0.13</v>
      </c>
      <c r="R239" s="10">
        <f t="shared" si="69"/>
        <v>0</v>
      </c>
      <c r="S239" s="60">
        <f t="shared" si="83"/>
        <v>0.13</v>
      </c>
      <c r="T239" s="57">
        <f t="shared" si="84"/>
        <v>9063.8888888888887</v>
      </c>
      <c r="U239" s="57">
        <f t="shared" si="74"/>
        <v>2097230.5588889001</v>
      </c>
      <c r="V239" s="67">
        <f t="shared" si="75"/>
        <v>0</v>
      </c>
      <c r="Y239" s="97">
        <f t="shared" si="89"/>
        <v>0.13</v>
      </c>
      <c r="Z239" s="57">
        <f t="shared" si="76"/>
        <v>9063.8888888888887</v>
      </c>
      <c r="AA239" s="57">
        <f t="shared" si="85"/>
        <v>2004922.222222232</v>
      </c>
      <c r="AD239" s="11"/>
    </row>
    <row r="240" spans="1:30" hidden="1" outlineLevel="1" x14ac:dyDescent="0.35">
      <c r="A240" s="75" t="str">
        <f t="shared" si="71"/>
        <v>No</v>
      </c>
      <c r="B240" s="75">
        <f t="shared" si="86"/>
        <v>8</v>
      </c>
      <c r="C240" s="76">
        <f t="shared" si="72"/>
        <v>0</v>
      </c>
      <c r="D240" s="77">
        <f t="shared" si="73"/>
        <v>43753</v>
      </c>
      <c r="E240" s="77" t="str">
        <f t="shared" si="77"/>
        <v>No</v>
      </c>
      <c r="F240" s="75">
        <f t="shared" si="78"/>
        <v>3</v>
      </c>
      <c r="G240" s="78">
        <f t="shared" si="79"/>
        <v>0</v>
      </c>
      <c r="H240" s="77">
        <f t="shared" si="87"/>
        <v>43845</v>
      </c>
      <c r="I240" s="77" t="str">
        <f t="shared" si="80"/>
        <v>No</v>
      </c>
      <c r="J240" s="75">
        <f t="shared" si="81"/>
        <v>1</v>
      </c>
      <c r="K240" s="78">
        <f t="shared" si="88"/>
        <v>0</v>
      </c>
      <c r="L240" s="12">
        <v>43700</v>
      </c>
      <c r="M240" s="57">
        <f t="shared" si="82"/>
        <v>25100000</v>
      </c>
      <c r="Q240" s="10">
        <f t="shared" si="70"/>
        <v>0.13</v>
      </c>
      <c r="R240" s="10">
        <f t="shared" si="69"/>
        <v>0</v>
      </c>
      <c r="S240" s="60">
        <f t="shared" si="83"/>
        <v>0.13</v>
      </c>
      <c r="T240" s="57">
        <f t="shared" si="84"/>
        <v>9063.8888888888887</v>
      </c>
      <c r="U240" s="57">
        <f t="shared" si="74"/>
        <v>2106294.4477777891</v>
      </c>
      <c r="V240" s="67">
        <f t="shared" si="75"/>
        <v>0</v>
      </c>
      <c r="Y240" s="97">
        <f t="shared" si="89"/>
        <v>0.13</v>
      </c>
      <c r="Z240" s="57">
        <f t="shared" si="76"/>
        <v>9063.8888888888887</v>
      </c>
      <c r="AA240" s="57">
        <f t="shared" si="85"/>
        <v>2013986.111111121</v>
      </c>
      <c r="AD240" s="11"/>
    </row>
    <row r="241" spans="1:30" hidden="1" outlineLevel="1" x14ac:dyDescent="0.35">
      <c r="A241" s="75" t="str">
        <f t="shared" si="71"/>
        <v>No</v>
      </c>
      <c r="B241" s="75">
        <f t="shared" si="86"/>
        <v>8</v>
      </c>
      <c r="C241" s="76">
        <f t="shared" si="72"/>
        <v>0</v>
      </c>
      <c r="D241" s="77">
        <f t="shared" si="73"/>
        <v>43753</v>
      </c>
      <c r="E241" s="77" t="str">
        <f t="shared" si="77"/>
        <v>No</v>
      </c>
      <c r="F241" s="75">
        <f t="shared" si="78"/>
        <v>3</v>
      </c>
      <c r="G241" s="78">
        <f t="shared" si="79"/>
        <v>0</v>
      </c>
      <c r="H241" s="77">
        <f t="shared" si="87"/>
        <v>43845</v>
      </c>
      <c r="I241" s="77" t="str">
        <f t="shared" si="80"/>
        <v>No</v>
      </c>
      <c r="J241" s="75">
        <f t="shared" si="81"/>
        <v>1</v>
      </c>
      <c r="K241" s="78">
        <f t="shared" si="88"/>
        <v>0</v>
      </c>
      <c r="L241" s="12">
        <v>43701</v>
      </c>
      <c r="M241" s="57">
        <f t="shared" si="82"/>
        <v>25100000</v>
      </c>
      <c r="Q241" s="10">
        <f t="shared" si="70"/>
        <v>0.13</v>
      </c>
      <c r="R241" s="10">
        <f t="shared" si="69"/>
        <v>0</v>
      </c>
      <c r="S241" s="60">
        <f t="shared" si="83"/>
        <v>0.13</v>
      </c>
      <c r="T241" s="57">
        <f t="shared" si="84"/>
        <v>9063.8888888888887</v>
      </c>
      <c r="U241" s="57">
        <f t="shared" si="74"/>
        <v>2115358.3366666781</v>
      </c>
      <c r="V241" s="67">
        <f t="shared" si="75"/>
        <v>0</v>
      </c>
      <c r="Y241" s="97">
        <f t="shared" si="89"/>
        <v>0.13</v>
      </c>
      <c r="Z241" s="57">
        <f t="shared" si="76"/>
        <v>9063.8888888888887</v>
      </c>
      <c r="AA241" s="57">
        <f t="shared" si="85"/>
        <v>2023050.00000001</v>
      </c>
      <c r="AD241" s="11"/>
    </row>
    <row r="242" spans="1:30" hidden="1" outlineLevel="1" x14ac:dyDescent="0.35">
      <c r="A242" s="75" t="str">
        <f t="shared" si="71"/>
        <v>No</v>
      </c>
      <c r="B242" s="75">
        <f t="shared" si="86"/>
        <v>8</v>
      </c>
      <c r="C242" s="76">
        <f t="shared" si="72"/>
        <v>0</v>
      </c>
      <c r="D242" s="77">
        <f t="shared" si="73"/>
        <v>43753</v>
      </c>
      <c r="E242" s="77" t="str">
        <f t="shared" si="77"/>
        <v>No</v>
      </c>
      <c r="F242" s="75">
        <f t="shared" si="78"/>
        <v>3</v>
      </c>
      <c r="G242" s="78">
        <f t="shared" si="79"/>
        <v>0</v>
      </c>
      <c r="H242" s="77">
        <f t="shared" si="87"/>
        <v>43845</v>
      </c>
      <c r="I242" s="77" t="str">
        <f t="shared" si="80"/>
        <v>No</v>
      </c>
      <c r="J242" s="75">
        <f t="shared" si="81"/>
        <v>1</v>
      </c>
      <c r="K242" s="78">
        <f t="shared" si="88"/>
        <v>0</v>
      </c>
      <c r="L242" s="12">
        <v>43702</v>
      </c>
      <c r="M242" s="57">
        <f t="shared" si="82"/>
        <v>25100000</v>
      </c>
      <c r="Q242" s="10">
        <f t="shared" si="70"/>
        <v>0.13</v>
      </c>
      <c r="R242" s="10">
        <f t="shared" si="69"/>
        <v>0</v>
      </c>
      <c r="S242" s="60">
        <f t="shared" si="83"/>
        <v>0.13</v>
      </c>
      <c r="T242" s="57">
        <f t="shared" si="84"/>
        <v>9063.8888888888887</v>
      </c>
      <c r="U242" s="57">
        <f t="shared" si="74"/>
        <v>2124422.2255555671</v>
      </c>
      <c r="V242" s="67">
        <f t="shared" si="75"/>
        <v>0</v>
      </c>
      <c r="Y242" s="97">
        <f t="shared" si="89"/>
        <v>0.13</v>
      </c>
      <c r="Z242" s="57">
        <f t="shared" si="76"/>
        <v>9063.8888888888887</v>
      </c>
      <c r="AA242" s="57">
        <f t="shared" si="85"/>
        <v>2032113.888888899</v>
      </c>
      <c r="AD242" s="11"/>
    </row>
    <row r="243" spans="1:30" hidden="1" outlineLevel="1" x14ac:dyDescent="0.35">
      <c r="A243" s="75" t="str">
        <f t="shared" si="71"/>
        <v>No</v>
      </c>
      <c r="B243" s="75">
        <f t="shared" si="86"/>
        <v>8</v>
      </c>
      <c r="C243" s="76">
        <f t="shared" si="72"/>
        <v>0</v>
      </c>
      <c r="D243" s="77">
        <f t="shared" si="73"/>
        <v>43753</v>
      </c>
      <c r="E243" s="77" t="str">
        <f t="shared" si="77"/>
        <v>No</v>
      </c>
      <c r="F243" s="75">
        <f t="shared" si="78"/>
        <v>3</v>
      </c>
      <c r="G243" s="78">
        <f t="shared" si="79"/>
        <v>0</v>
      </c>
      <c r="H243" s="77">
        <f t="shared" si="87"/>
        <v>43845</v>
      </c>
      <c r="I243" s="77" t="str">
        <f t="shared" si="80"/>
        <v>No</v>
      </c>
      <c r="J243" s="75">
        <f t="shared" si="81"/>
        <v>1</v>
      </c>
      <c r="K243" s="78">
        <f t="shared" si="88"/>
        <v>0</v>
      </c>
      <c r="L243" s="12">
        <v>43703</v>
      </c>
      <c r="M243" s="57">
        <f t="shared" si="82"/>
        <v>25100000</v>
      </c>
      <c r="Q243" s="10">
        <f t="shared" si="70"/>
        <v>0.13</v>
      </c>
      <c r="R243" s="10">
        <f t="shared" si="69"/>
        <v>0</v>
      </c>
      <c r="S243" s="60">
        <f t="shared" si="83"/>
        <v>0.13</v>
      </c>
      <c r="T243" s="57">
        <f t="shared" si="84"/>
        <v>9063.8888888888887</v>
      </c>
      <c r="U243" s="57">
        <f t="shared" si="74"/>
        <v>2133486.1144444561</v>
      </c>
      <c r="V243" s="67">
        <f t="shared" si="75"/>
        <v>0</v>
      </c>
      <c r="Y243" s="97">
        <f t="shared" si="89"/>
        <v>0.13</v>
      </c>
      <c r="Z243" s="57">
        <f t="shared" si="76"/>
        <v>9063.8888888888887</v>
      </c>
      <c r="AA243" s="57">
        <f t="shared" si="85"/>
        <v>2041177.777777788</v>
      </c>
      <c r="AD243" s="11"/>
    </row>
    <row r="244" spans="1:30" hidden="1" outlineLevel="1" x14ac:dyDescent="0.35">
      <c r="A244" s="75" t="str">
        <f t="shared" si="71"/>
        <v>No</v>
      </c>
      <c r="B244" s="75">
        <f t="shared" si="86"/>
        <v>8</v>
      </c>
      <c r="C244" s="76">
        <f t="shared" si="72"/>
        <v>0</v>
      </c>
      <c r="D244" s="77">
        <f t="shared" si="73"/>
        <v>43753</v>
      </c>
      <c r="E244" s="77" t="str">
        <f t="shared" si="77"/>
        <v>No</v>
      </c>
      <c r="F244" s="75">
        <f t="shared" si="78"/>
        <v>3</v>
      </c>
      <c r="G244" s="78">
        <f t="shared" si="79"/>
        <v>0</v>
      </c>
      <c r="H244" s="77">
        <f t="shared" si="87"/>
        <v>43845</v>
      </c>
      <c r="I244" s="77" t="str">
        <f t="shared" si="80"/>
        <v>No</v>
      </c>
      <c r="J244" s="75">
        <f t="shared" si="81"/>
        <v>1</v>
      </c>
      <c r="K244" s="78">
        <f t="shared" si="88"/>
        <v>0</v>
      </c>
      <c r="L244" s="12">
        <v>43704</v>
      </c>
      <c r="M244" s="57">
        <f t="shared" si="82"/>
        <v>25100000</v>
      </c>
      <c r="Q244" s="10">
        <f t="shared" si="70"/>
        <v>0.13</v>
      </c>
      <c r="R244" s="10">
        <f t="shared" si="69"/>
        <v>0</v>
      </c>
      <c r="S244" s="60">
        <f t="shared" si="83"/>
        <v>0.13</v>
      </c>
      <c r="T244" s="57">
        <f t="shared" si="84"/>
        <v>9063.8888888888887</v>
      </c>
      <c r="U244" s="57">
        <f t="shared" si="74"/>
        <v>2142550.0033333451</v>
      </c>
      <c r="V244" s="67">
        <f t="shared" si="75"/>
        <v>0</v>
      </c>
      <c r="Y244" s="97">
        <f t="shared" si="89"/>
        <v>0.13</v>
      </c>
      <c r="Z244" s="57">
        <f t="shared" si="76"/>
        <v>9063.8888888888887</v>
      </c>
      <c r="AA244" s="57">
        <f t="shared" si="85"/>
        <v>2050241.666666677</v>
      </c>
      <c r="AD244" s="11"/>
    </row>
    <row r="245" spans="1:30" hidden="1" outlineLevel="1" x14ac:dyDescent="0.35">
      <c r="A245" s="75" t="str">
        <f t="shared" si="71"/>
        <v>No</v>
      </c>
      <c r="B245" s="75">
        <f t="shared" si="86"/>
        <v>8</v>
      </c>
      <c r="C245" s="76">
        <f t="shared" si="72"/>
        <v>0</v>
      </c>
      <c r="D245" s="77">
        <f t="shared" si="73"/>
        <v>43753</v>
      </c>
      <c r="E245" s="77" t="str">
        <f t="shared" si="77"/>
        <v>No</v>
      </c>
      <c r="F245" s="75">
        <f t="shared" si="78"/>
        <v>3</v>
      </c>
      <c r="G245" s="78">
        <f t="shared" si="79"/>
        <v>0</v>
      </c>
      <c r="H245" s="77">
        <f t="shared" si="87"/>
        <v>43845</v>
      </c>
      <c r="I245" s="77" t="str">
        <f t="shared" si="80"/>
        <v>No</v>
      </c>
      <c r="J245" s="75">
        <f t="shared" si="81"/>
        <v>1</v>
      </c>
      <c r="K245" s="78">
        <f t="shared" si="88"/>
        <v>0</v>
      </c>
      <c r="L245" s="12">
        <v>43705</v>
      </c>
      <c r="M245" s="57">
        <f t="shared" si="82"/>
        <v>25100000</v>
      </c>
      <c r="Q245" s="10">
        <f t="shared" si="70"/>
        <v>0.13</v>
      </c>
      <c r="R245" s="10">
        <f t="shared" si="69"/>
        <v>0</v>
      </c>
      <c r="S245" s="60">
        <f t="shared" si="83"/>
        <v>0.13</v>
      </c>
      <c r="T245" s="57">
        <f t="shared" si="84"/>
        <v>9063.8888888888887</v>
      </c>
      <c r="U245" s="57">
        <f t="shared" si="74"/>
        <v>2151613.892222234</v>
      </c>
      <c r="V245" s="67">
        <f t="shared" si="75"/>
        <v>0</v>
      </c>
      <c r="Y245" s="97">
        <f t="shared" si="89"/>
        <v>0.13</v>
      </c>
      <c r="Z245" s="57">
        <f t="shared" si="76"/>
        <v>9063.8888888888887</v>
      </c>
      <c r="AA245" s="57">
        <f t="shared" si="85"/>
        <v>2059305.555555566</v>
      </c>
      <c r="AD245" s="11"/>
    </row>
    <row r="246" spans="1:30" hidden="1" outlineLevel="1" x14ac:dyDescent="0.35">
      <c r="A246" s="75" t="str">
        <f t="shared" si="71"/>
        <v>No</v>
      </c>
      <c r="B246" s="75">
        <f t="shared" si="86"/>
        <v>8</v>
      </c>
      <c r="C246" s="76">
        <f t="shared" si="72"/>
        <v>0</v>
      </c>
      <c r="D246" s="77">
        <f t="shared" si="73"/>
        <v>43753</v>
      </c>
      <c r="E246" s="77" t="str">
        <f t="shared" si="77"/>
        <v>No</v>
      </c>
      <c r="F246" s="75">
        <f t="shared" si="78"/>
        <v>3</v>
      </c>
      <c r="G246" s="78">
        <f t="shared" si="79"/>
        <v>0</v>
      </c>
      <c r="H246" s="77">
        <f t="shared" si="87"/>
        <v>43845</v>
      </c>
      <c r="I246" s="77" t="str">
        <f t="shared" si="80"/>
        <v>No</v>
      </c>
      <c r="J246" s="75">
        <f t="shared" si="81"/>
        <v>1</v>
      </c>
      <c r="K246" s="78">
        <f t="shared" si="88"/>
        <v>0</v>
      </c>
      <c r="L246" s="12">
        <v>43706</v>
      </c>
      <c r="M246" s="57">
        <f t="shared" si="82"/>
        <v>25100000</v>
      </c>
      <c r="Q246" s="10">
        <f t="shared" si="70"/>
        <v>0.13</v>
      </c>
      <c r="R246" s="10">
        <f t="shared" si="69"/>
        <v>0</v>
      </c>
      <c r="S246" s="60">
        <f t="shared" si="83"/>
        <v>0.13</v>
      </c>
      <c r="T246" s="57">
        <f t="shared" si="84"/>
        <v>9063.8888888888887</v>
      </c>
      <c r="U246" s="57">
        <f t="shared" si="74"/>
        <v>2160677.781111123</v>
      </c>
      <c r="V246" s="67">
        <f t="shared" si="75"/>
        <v>0</v>
      </c>
      <c r="Y246" s="97">
        <f t="shared" si="89"/>
        <v>0.13</v>
      </c>
      <c r="Z246" s="57">
        <f t="shared" si="76"/>
        <v>9063.8888888888887</v>
      </c>
      <c r="AA246" s="57">
        <f t="shared" si="85"/>
        <v>2068369.444444455</v>
      </c>
      <c r="AD246" s="11"/>
    </row>
    <row r="247" spans="1:30" hidden="1" outlineLevel="1" x14ac:dyDescent="0.35">
      <c r="A247" s="75" t="str">
        <f t="shared" si="71"/>
        <v>No</v>
      </c>
      <c r="B247" s="75">
        <f t="shared" si="86"/>
        <v>8</v>
      </c>
      <c r="C247" s="76">
        <f t="shared" si="72"/>
        <v>0</v>
      </c>
      <c r="D247" s="77">
        <f t="shared" si="73"/>
        <v>43753</v>
      </c>
      <c r="E247" s="77" t="str">
        <f t="shared" si="77"/>
        <v>No</v>
      </c>
      <c r="F247" s="75">
        <f t="shared" si="78"/>
        <v>3</v>
      </c>
      <c r="G247" s="78">
        <f t="shared" si="79"/>
        <v>0</v>
      </c>
      <c r="H247" s="77">
        <f t="shared" si="87"/>
        <v>43845</v>
      </c>
      <c r="I247" s="77" t="str">
        <f t="shared" si="80"/>
        <v>No</v>
      </c>
      <c r="J247" s="75">
        <f t="shared" si="81"/>
        <v>1</v>
      </c>
      <c r="K247" s="78">
        <f t="shared" si="88"/>
        <v>0</v>
      </c>
      <c r="L247" s="12">
        <v>43707</v>
      </c>
      <c r="M247" s="57">
        <f t="shared" si="82"/>
        <v>25100000</v>
      </c>
      <c r="Q247" s="10">
        <f t="shared" si="70"/>
        <v>0.13</v>
      </c>
      <c r="R247" s="10">
        <f t="shared" si="69"/>
        <v>0</v>
      </c>
      <c r="S247" s="60">
        <f t="shared" si="83"/>
        <v>0.13</v>
      </c>
      <c r="T247" s="57">
        <f t="shared" si="84"/>
        <v>9063.8888888888887</v>
      </c>
      <c r="U247" s="57">
        <f t="shared" si="74"/>
        <v>2169741.670000012</v>
      </c>
      <c r="V247" s="67">
        <f t="shared" si="75"/>
        <v>0</v>
      </c>
      <c r="Y247" s="97">
        <f t="shared" si="89"/>
        <v>0.13</v>
      </c>
      <c r="Z247" s="57">
        <f t="shared" si="76"/>
        <v>9063.8888888888887</v>
      </c>
      <c r="AA247" s="57">
        <f t="shared" si="85"/>
        <v>2077433.333333344</v>
      </c>
      <c r="AD247" s="11"/>
    </row>
    <row r="248" spans="1:30" hidden="1" outlineLevel="1" x14ac:dyDescent="0.35">
      <c r="A248" s="75" t="str">
        <f t="shared" si="71"/>
        <v>No</v>
      </c>
      <c r="B248" s="75">
        <f t="shared" si="86"/>
        <v>8</v>
      </c>
      <c r="C248" s="76">
        <f t="shared" si="72"/>
        <v>0</v>
      </c>
      <c r="D248" s="77">
        <f t="shared" si="73"/>
        <v>43753</v>
      </c>
      <c r="E248" s="77" t="str">
        <f t="shared" si="77"/>
        <v>No</v>
      </c>
      <c r="F248" s="75">
        <f t="shared" si="78"/>
        <v>3</v>
      </c>
      <c r="G248" s="78">
        <f t="shared" si="79"/>
        <v>0</v>
      </c>
      <c r="H248" s="77">
        <f t="shared" si="87"/>
        <v>43845</v>
      </c>
      <c r="I248" s="77" t="str">
        <f t="shared" si="80"/>
        <v>No</v>
      </c>
      <c r="J248" s="75">
        <f t="shared" si="81"/>
        <v>1</v>
      </c>
      <c r="K248" s="78">
        <f t="shared" si="88"/>
        <v>0</v>
      </c>
      <c r="L248" s="12">
        <v>43708</v>
      </c>
      <c r="M248" s="57">
        <f t="shared" si="82"/>
        <v>25100000</v>
      </c>
      <c r="Q248" s="10">
        <f t="shared" si="70"/>
        <v>0.13</v>
      </c>
      <c r="R248" s="10">
        <f t="shared" ref="R248:R311" si="90">R247</f>
        <v>0</v>
      </c>
      <c r="S248" s="60">
        <f t="shared" si="83"/>
        <v>0.13</v>
      </c>
      <c r="T248" s="57">
        <f t="shared" si="84"/>
        <v>9063.8888888888887</v>
      </c>
      <c r="U248" s="57">
        <f t="shared" si="74"/>
        <v>2178805.558888901</v>
      </c>
      <c r="V248" s="67">
        <f t="shared" si="75"/>
        <v>0</v>
      </c>
      <c r="Y248" s="97">
        <f t="shared" si="89"/>
        <v>0.13</v>
      </c>
      <c r="Z248" s="57">
        <f t="shared" si="76"/>
        <v>9063.8888888888887</v>
      </c>
      <c r="AA248" s="57">
        <f t="shared" si="85"/>
        <v>2086497.222222233</v>
      </c>
      <c r="AD248" s="11"/>
    </row>
    <row r="249" spans="1:30" hidden="1" outlineLevel="1" x14ac:dyDescent="0.35">
      <c r="A249" s="75" t="str">
        <f t="shared" si="71"/>
        <v>No</v>
      </c>
      <c r="B249" s="75">
        <f t="shared" si="86"/>
        <v>8</v>
      </c>
      <c r="C249" s="76">
        <f t="shared" si="72"/>
        <v>0</v>
      </c>
      <c r="D249" s="77">
        <f t="shared" si="73"/>
        <v>43753</v>
      </c>
      <c r="E249" s="77" t="str">
        <f t="shared" si="77"/>
        <v>No</v>
      </c>
      <c r="F249" s="75">
        <f t="shared" si="78"/>
        <v>3</v>
      </c>
      <c r="G249" s="78">
        <f t="shared" si="79"/>
        <v>0</v>
      </c>
      <c r="H249" s="77">
        <f t="shared" si="87"/>
        <v>43845</v>
      </c>
      <c r="I249" s="77" t="str">
        <f t="shared" si="80"/>
        <v>No</v>
      </c>
      <c r="J249" s="75">
        <f t="shared" si="81"/>
        <v>1</v>
      </c>
      <c r="K249" s="78">
        <f t="shared" si="88"/>
        <v>0</v>
      </c>
      <c r="L249" s="12">
        <v>43709</v>
      </c>
      <c r="M249" s="57">
        <f t="shared" si="82"/>
        <v>25100000</v>
      </c>
      <c r="Q249" s="10">
        <f t="shared" si="70"/>
        <v>0.13</v>
      </c>
      <c r="R249" s="10">
        <f t="shared" si="90"/>
        <v>0</v>
      </c>
      <c r="S249" s="60">
        <f t="shared" si="83"/>
        <v>0.13</v>
      </c>
      <c r="T249" s="57">
        <f t="shared" si="84"/>
        <v>9063.8888888888887</v>
      </c>
      <c r="U249" s="57">
        <f t="shared" si="74"/>
        <v>2187869.44777779</v>
      </c>
      <c r="V249" s="67">
        <f t="shared" si="75"/>
        <v>0</v>
      </c>
      <c r="Y249" s="97">
        <f t="shared" si="89"/>
        <v>0.13</v>
      </c>
      <c r="Z249" s="57">
        <f t="shared" si="76"/>
        <v>9063.8888888888887</v>
      </c>
      <c r="AA249" s="57">
        <f t="shared" si="85"/>
        <v>2095561.111111122</v>
      </c>
      <c r="AD249" s="11"/>
    </row>
    <row r="250" spans="1:30" hidden="1" outlineLevel="1" x14ac:dyDescent="0.35">
      <c r="A250" s="75" t="str">
        <f t="shared" si="71"/>
        <v>No</v>
      </c>
      <c r="B250" s="75">
        <f t="shared" si="86"/>
        <v>8</v>
      </c>
      <c r="C250" s="76">
        <f t="shared" si="72"/>
        <v>0</v>
      </c>
      <c r="D250" s="77">
        <f t="shared" si="73"/>
        <v>43753</v>
      </c>
      <c r="E250" s="77" t="str">
        <f t="shared" si="77"/>
        <v>No</v>
      </c>
      <c r="F250" s="75">
        <f t="shared" si="78"/>
        <v>3</v>
      </c>
      <c r="G250" s="78">
        <f t="shared" si="79"/>
        <v>0</v>
      </c>
      <c r="H250" s="77">
        <f t="shared" si="87"/>
        <v>43845</v>
      </c>
      <c r="I250" s="77" t="str">
        <f t="shared" si="80"/>
        <v>No</v>
      </c>
      <c r="J250" s="75">
        <f t="shared" si="81"/>
        <v>1</v>
      </c>
      <c r="K250" s="78">
        <f t="shared" si="88"/>
        <v>0</v>
      </c>
      <c r="L250" s="12">
        <v>43710</v>
      </c>
      <c r="M250" s="57">
        <f t="shared" si="82"/>
        <v>25100000</v>
      </c>
      <c r="Q250" s="10">
        <f t="shared" si="70"/>
        <v>0.13</v>
      </c>
      <c r="R250" s="10">
        <f t="shared" si="90"/>
        <v>0</v>
      </c>
      <c r="S250" s="60">
        <f t="shared" si="83"/>
        <v>0.13</v>
      </c>
      <c r="T250" s="57">
        <f t="shared" si="84"/>
        <v>9063.8888888888887</v>
      </c>
      <c r="U250" s="57">
        <f t="shared" si="74"/>
        <v>2196933.336666679</v>
      </c>
      <c r="V250" s="67">
        <f t="shared" si="75"/>
        <v>0</v>
      </c>
      <c r="Y250" s="97">
        <f t="shared" si="89"/>
        <v>0.13</v>
      </c>
      <c r="Z250" s="57">
        <f t="shared" si="76"/>
        <v>9063.8888888888887</v>
      </c>
      <c r="AA250" s="57">
        <f t="shared" si="85"/>
        <v>2104625.0000000107</v>
      </c>
      <c r="AD250" s="11"/>
    </row>
    <row r="251" spans="1:30" hidden="1" outlineLevel="1" x14ac:dyDescent="0.35">
      <c r="A251" s="75" t="str">
        <f t="shared" si="71"/>
        <v>No</v>
      </c>
      <c r="B251" s="75">
        <f t="shared" si="86"/>
        <v>8</v>
      </c>
      <c r="C251" s="76">
        <f t="shared" si="72"/>
        <v>0</v>
      </c>
      <c r="D251" s="77">
        <f t="shared" si="73"/>
        <v>43753</v>
      </c>
      <c r="E251" s="77" t="str">
        <f t="shared" si="77"/>
        <v>No</v>
      </c>
      <c r="F251" s="75">
        <f t="shared" si="78"/>
        <v>3</v>
      </c>
      <c r="G251" s="78">
        <f t="shared" si="79"/>
        <v>0</v>
      </c>
      <c r="H251" s="77">
        <f t="shared" si="87"/>
        <v>43845</v>
      </c>
      <c r="I251" s="77" t="str">
        <f t="shared" si="80"/>
        <v>No</v>
      </c>
      <c r="J251" s="75">
        <f t="shared" si="81"/>
        <v>1</v>
      </c>
      <c r="K251" s="78">
        <f t="shared" si="88"/>
        <v>0</v>
      </c>
      <c r="L251" s="12">
        <v>43711</v>
      </c>
      <c r="M251" s="57">
        <f t="shared" si="82"/>
        <v>25100000</v>
      </c>
      <c r="Q251" s="10">
        <f t="shared" si="70"/>
        <v>0.13</v>
      </c>
      <c r="R251" s="10">
        <f t="shared" si="90"/>
        <v>0</v>
      </c>
      <c r="S251" s="60">
        <f t="shared" si="83"/>
        <v>0.13</v>
      </c>
      <c r="T251" s="57">
        <f t="shared" si="84"/>
        <v>9063.8888888888887</v>
      </c>
      <c r="U251" s="57">
        <f t="shared" si="74"/>
        <v>2205997.225555568</v>
      </c>
      <c r="V251" s="67">
        <f t="shared" si="75"/>
        <v>0</v>
      </c>
      <c r="Y251" s="97">
        <f t="shared" si="89"/>
        <v>0.13</v>
      </c>
      <c r="Z251" s="57">
        <f t="shared" si="76"/>
        <v>9063.8888888888887</v>
      </c>
      <c r="AA251" s="57">
        <f t="shared" si="85"/>
        <v>2113688.8888888997</v>
      </c>
      <c r="AD251" s="11"/>
    </row>
    <row r="252" spans="1:30" hidden="1" outlineLevel="1" x14ac:dyDescent="0.35">
      <c r="A252" s="75" t="str">
        <f t="shared" si="71"/>
        <v>No</v>
      </c>
      <c r="B252" s="75">
        <f t="shared" si="86"/>
        <v>8</v>
      </c>
      <c r="C252" s="76">
        <f t="shared" si="72"/>
        <v>0</v>
      </c>
      <c r="D252" s="77">
        <f t="shared" si="73"/>
        <v>43753</v>
      </c>
      <c r="E252" s="77" t="str">
        <f t="shared" si="77"/>
        <v>No</v>
      </c>
      <c r="F252" s="75">
        <f t="shared" si="78"/>
        <v>3</v>
      </c>
      <c r="G252" s="78">
        <f t="shared" si="79"/>
        <v>0</v>
      </c>
      <c r="H252" s="77">
        <f t="shared" si="87"/>
        <v>43845</v>
      </c>
      <c r="I252" s="77" t="str">
        <f t="shared" si="80"/>
        <v>No</v>
      </c>
      <c r="J252" s="75">
        <f t="shared" si="81"/>
        <v>1</v>
      </c>
      <c r="K252" s="78">
        <f t="shared" si="88"/>
        <v>0</v>
      </c>
      <c r="L252" s="12">
        <v>43712</v>
      </c>
      <c r="M252" s="57">
        <f t="shared" si="82"/>
        <v>25100000</v>
      </c>
      <c r="Q252" s="10">
        <f t="shared" si="70"/>
        <v>0.13</v>
      </c>
      <c r="R252" s="10">
        <f t="shared" si="90"/>
        <v>0</v>
      </c>
      <c r="S252" s="60">
        <f t="shared" si="83"/>
        <v>0.13</v>
      </c>
      <c r="T252" s="57">
        <f t="shared" si="84"/>
        <v>9063.8888888888887</v>
      </c>
      <c r="U252" s="57">
        <f t="shared" si="74"/>
        <v>2215061.114444457</v>
      </c>
      <c r="V252" s="67">
        <f t="shared" si="75"/>
        <v>0</v>
      </c>
      <c r="Y252" s="97">
        <f t="shared" si="89"/>
        <v>0.13</v>
      </c>
      <c r="Z252" s="57">
        <f t="shared" si="76"/>
        <v>9063.8888888888887</v>
      </c>
      <c r="AA252" s="57">
        <f t="shared" si="85"/>
        <v>2122752.7777777887</v>
      </c>
      <c r="AD252" s="11"/>
    </row>
    <row r="253" spans="1:30" hidden="1" outlineLevel="1" x14ac:dyDescent="0.35">
      <c r="A253" s="75" t="str">
        <f t="shared" si="71"/>
        <v>No</v>
      </c>
      <c r="B253" s="75">
        <f t="shared" si="86"/>
        <v>8</v>
      </c>
      <c r="C253" s="76">
        <f t="shared" si="72"/>
        <v>0</v>
      </c>
      <c r="D253" s="77">
        <f t="shared" si="73"/>
        <v>43753</v>
      </c>
      <c r="E253" s="77" t="str">
        <f t="shared" si="77"/>
        <v>No</v>
      </c>
      <c r="F253" s="75">
        <f t="shared" si="78"/>
        <v>3</v>
      </c>
      <c r="G253" s="78">
        <f t="shared" si="79"/>
        <v>0</v>
      </c>
      <c r="H253" s="77">
        <f t="shared" si="87"/>
        <v>43845</v>
      </c>
      <c r="I253" s="77" t="str">
        <f t="shared" si="80"/>
        <v>No</v>
      </c>
      <c r="J253" s="75">
        <f t="shared" si="81"/>
        <v>1</v>
      </c>
      <c r="K253" s="78">
        <f t="shared" si="88"/>
        <v>0</v>
      </c>
      <c r="L253" s="12">
        <v>43713</v>
      </c>
      <c r="M253" s="57">
        <f t="shared" si="82"/>
        <v>25100000</v>
      </c>
      <c r="Q253" s="10">
        <f t="shared" si="70"/>
        <v>0.13</v>
      </c>
      <c r="R253" s="10">
        <f t="shared" si="90"/>
        <v>0</v>
      </c>
      <c r="S253" s="60">
        <f t="shared" si="83"/>
        <v>0.13</v>
      </c>
      <c r="T253" s="57">
        <f t="shared" si="84"/>
        <v>9063.8888888888887</v>
      </c>
      <c r="U253" s="57">
        <f t="shared" si="74"/>
        <v>2224125.003333346</v>
      </c>
      <c r="V253" s="67">
        <f t="shared" si="75"/>
        <v>0</v>
      </c>
      <c r="Y253" s="97">
        <f t="shared" si="89"/>
        <v>0.13</v>
      </c>
      <c r="Z253" s="57">
        <f t="shared" si="76"/>
        <v>9063.8888888888887</v>
      </c>
      <c r="AA253" s="57">
        <f t="shared" si="85"/>
        <v>2131816.6666666777</v>
      </c>
      <c r="AD253" s="11"/>
    </row>
    <row r="254" spans="1:30" hidden="1" outlineLevel="1" x14ac:dyDescent="0.35">
      <c r="A254" s="75" t="str">
        <f t="shared" si="71"/>
        <v>No</v>
      </c>
      <c r="B254" s="75">
        <f t="shared" si="86"/>
        <v>8</v>
      </c>
      <c r="C254" s="76">
        <f t="shared" si="72"/>
        <v>0</v>
      </c>
      <c r="D254" s="77">
        <f t="shared" si="73"/>
        <v>43753</v>
      </c>
      <c r="E254" s="77" t="str">
        <f t="shared" si="77"/>
        <v>No</v>
      </c>
      <c r="F254" s="75">
        <f t="shared" si="78"/>
        <v>3</v>
      </c>
      <c r="G254" s="78">
        <f t="shared" si="79"/>
        <v>0</v>
      </c>
      <c r="H254" s="77">
        <f t="shared" si="87"/>
        <v>43845</v>
      </c>
      <c r="I254" s="77" t="str">
        <f t="shared" si="80"/>
        <v>No</v>
      </c>
      <c r="J254" s="75">
        <f t="shared" si="81"/>
        <v>1</v>
      </c>
      <c r="K254" s="78">
        <f t="shared" si="88"/>
        <v>0</v>
      </c>
      <c r="L254" s="12">
        <v>43714</v>
      </c>
      <c r="M254" s="57">
        <f t="shared" si="82"/>
        <v>25100000</v>
      </c>
      <c r="Q254" s="10">
        <f t="shared" si="70"/>
        <v>0.13</v>
      </c>
      <c r="R254" s="10">
        <f t="shared" si="90"/>
        <v>0</v>
      </c>
      <c r="S254" s="60">
        <f t="shared" si="83"/>
        <v>0.13</v>
      </c>
      <c r="T254" s="57">
        <f t="shared" si="84"/>
        <v>9063.8888888888887</v>
      </c>
      <c r="U254" s="57">
        <f t="shared" si="74"/>
        <v>2233188.892222235</v>
      </c>
      <c r="V254" s="67">
        <f t="shared" si="75"/>
        <v>0</v>
      </c>
      <c r="Y254" s="97">
        <f t="shared" si="89"/>
        <v>0.13</v>
      </c>
      <c r="Z254" s="57">
        <f t="shared" si="76"/>
        <v>9063.8888888888887</v>
      </c>
      <c r="AA254" s="57">
        <f t="shared" si="85"/>
        <v>2140880.5555555667</v>
      </c>
      <c r="AD254" s="11"/>
    </row>
    <row r="255" spans="1:30" hidden="1" outlineLevel="1" x14ac:dyDescent="0.35">
      <c r="A255" s="75" t="str">
        <f t="shared" si="71"/>
        <v>No</v>
      </c>
      <c r="B255" s="75">
        <f t="shared" si="86"/>
        <v>8</v>
      </c>
      <c r="C255" s="76">
        <f t="shared" si="72"/>
        <v>0</v>
      </c>
      <c r="D255" s="77">
        <f t="shared" si="73"/>
        <v>43753</v>
      </c>
      <c r="E255" s="77" t="str">
        <f t="shared" si="77"/>
        <v>No</v>
      </c>
      <c r="F255" s="75">
        <f t="shared" si="78"/>
        <v>3</v>
      </c>
      <c r="G255" s="78">
        <f t="shared" si="79"/>
        <v>0</v>
      </c>
      <c r="H255" s="77">
        <f t="shared" si="87"/>
        <v>43845</v>
      </c>
      <c r="I255" s="77" t="str">
        <f t="shared" si="80"/>
        <v>No</v>
      </c>
      <c r="J255" s="75">
        <f t="shared" si="81"/>
        <v>1</v>
      </c>
      <c r="K255" s="78">
        <f t="shared" si="88"/>
        <v>0</v>
      </c>
      <c r="L255" s="12">
        <v>43715</v>
      </c>
      <c r="M255" s="57">
        <f t="shared" si="82"/>
        <v>25100000</v>
      </c>
      <c r="Q255" s="10">
        <f t="shared" si="70"/>
        <v>0.13</v>
      </c>
      <c r="R255" s="10">
        <f t="shared" si="90"/>
        <v>0</v>
      </c>
      <c r="S255" s="60">
        <f t="shared" si="83"/>
        <v>0.13</v>
      </c>
      <c r="T255" s="57">
        <f t="shared" si="84"/>
        <v>9063.8888888888887</v>
      </c>
      <c r="U255" s="57">
        <f t="shared" si="74"/>
        <v>2242252.781111124</v>
      </c>
      <c r="V255" s="67">
        <f t="shared" si="75"/>
        <v>0</v>
      </c>
      <c r="Y255" s="97">
        <f t="shared" si="89"/>
        <v>0.13</v>
      </c>
      <c r="Z255" s="57">
        <f t="shared" si="76"/>
        <v>9063.8888888888887</v>
      </c>
      <c r="AA255" s="57">
        <f t="shared" si="85"/>
        <v>2149944.4444444557</v>
      </c>
      <c r="AD255" s="11"/>
    </row>
    <row r="256" spans="1:30" hidden="1" outlineLevel="1" x14ac:dyDescent="0.35">
      <c r="A256" s="75" t="str">
        <f t="shared" si="71"/>
        <v>No</v>
      </c>
      <c r="B256" s="75">
        <f t="shared" si="86"/>
        <v>8</v>
      </c>
      <c r="C256" s="76">
        <f t="shared" si="72"/>
        <v>0</v>
      </c>
      <c r="D256" s="77">
        <f t="shared" si="73"/>
        <v>43753</v>
      </c>
      <c r="E256" s="77" t="str">
        <f t="shared" si="77"/>
        <v>No</v>
      </c>
      <c r="F256" s="75">
        <f t="shared" si="78"/>
        <v>3</v>
      </c>
      <c r="G256" s="78">
        <f t="shared" si="79"/>
        <v>0</v>
      </c>
      <c r="H256" s="77">
        <f t="shared" si="87"/>
        <v>43845</v>
      </c>
      <c r="I256" s="77" t="str">
        <f t="shared" si="80"/>
        <v>No</v>
      </c>
      <c r="J256" s="75">
        <f t="shared" si="81"/>
        <v>1</v>
      </c>
      <c r="K256" s="78">
        <f t="shared" si="88"/>
        <v>0</v>
      </c>
      <c r="L256" s="12">
        <v>43716</v>
      </c>
      <c r="M256" s="57">
        <f t="shared" si="82"/>
        <v>25100000</v>
      </c>
      <c r="Q256" s="10">
        <f t="shared" si="70"/>
        <v>0.13</v>
      </c>
      <c r="R256" s="10">
        <f t="shared" si="90"/>
        <v>0</v>
      </c>
      <c r="S256" s="60">
        <f t="shared" si="83"/>
        <v>0.13</v>
      </c>
      <c r="T256" s="57">
        <f t="shared" si="84"/>
        <v>9063.8888888888887</v>
      </c>
      <c r="U256" s="57">
        <f t="shared" si="74"/>
        <v>2251316.670000013</v>
      </c>
      <c r="V256" s="67">
        <f t="shared" si="75"/>
        <v>0</v>
      </c>
      <c r="Y256" s="97">
        <f t="shared" si="89"/>
        <v>0.13</v>
      </c>
      <c r="Z256" s="57">
        <f t="shared" si="76"/>
        <v>9063.8888888888887</v>
      </c>
      <c r="AA256" s="57">
        <f t="shared" si="85"/>
        <v>2159008.3333333447</v>
      </c>
      <c r="AD256" s="11"/>
    </row>
    <row r="257" spans="1:30" hidden="1" outlineLevel="1" x14ac:dyDescent="0.35">
      <c r="A257" s="75" t="str">
        <f t="shared" si="71"/>
        <v>No</v>
      </c>
      <c r="B257" s="75">
        <f t="shared" si="86"/>
        <v>8</v>
      </c>
      <c r="C257" s="76">
        <f t="shared" si="72"/>
        <v>0</v>
      </c>
      <c r="D257" s="77">
        <f t="shared" si="73"/>
        <v>43753</v>
      </c>
      <c r="E257" s="77" t="str">
        <f t="shared" si="77"/>
        <v>No</v>
      </c>
      <c r="F257" s="75">
        <f t="shared" si="78"/>
        <v>3</v>
      </c>
      <c r="G257" s="78">
        <f t="shared" si="79"/>
        <v>0</v>
      </c>
      <c r="H257" s="77">
        <f t="shared" si="87"/>
        <v>43845</v>
      </c>
      <c r="I257" s="77" t="str">
        <f t="shared" si="80"/>
        <v>No</v>
      </c>
      <c r="J257" s="75">
        <f t="shared" si="81"/>
        <v>1</v>
      </c>
      <c r="K257" s="78">
        <f t="shared" si="88"/>
        <v>0</v>
      </c>
      <c r="L257" s="12">
        <v>43717</v>
      </c>
      <c r="M257" s="57">
        <f t="shared" si="82"/>
        <v>25100000</v>
      </c>
      <c r="Q257" s="10">
        <f t="shared" si="70"/>
        <v>0.13</v>
      </c>
      <c r="R257" s="10">
        <f t="shared" si="90"/>
        <v>0</v>
      </c>
      <c r="S257" s="60">
        <f t="shared" si="83"/>
        <v>0.13</v>
      </c>
      <c r="T257" s="57">
        <f t="shared" si="84"/>
        <v>9063.8888888888887</v>
      </c>
      <c r="U257" s="57">
        <f t="shared" si="74"/>
        <v>2260380.558888902</v>
      </c>
      <c r="V257" s="67">
        <f t="shared" si="75"/>
        <v>0</v>
      </c>
      <c r="Y257" s="97">
        <f t="shared" si="89"/>
        <v>0.13</v>
      </c>
      <c r="Z257" s="57">
        <f t="shared" si="76"/>
        <v>9063.8888888888887</v>
      </c>
      <c r="AA257" s="57">
        <f t="shared" si="85"/>
        <v>2168072.2222222337</v>
      </c>
      <c r="AD257" s="11"/>
    </row>
    <row r="258" spans="1:30" hidden="1" outlineLevel="1" x14ac:dyDescent="0.35">
      <c r="A258" s="75" t="str">
        <f t="shared" si="71"/>
        <v>No</v>
      </c>
      <c r="B258" s="75">
        <f t="shared" si="86"/>
        <v>8</v>
      </c>
      <c r="C258" s="76">
        <f t="shared" si="72"/>
        <v>0</v>
      </c>
      <c r="D258" s="77">
        <f t="shared" si="73"/>
        <v>43753</v>
      </c>
      <c r="E258" s="77" t="str">
        <f t="shared" si="77"/>
        <v>No</v>
      </c>
      <c r="F258" s="75">
        <f t="shared" si="78"/>
        <v>3</v>
      </c>
      <c r="G258" s="78">
        <f t="shared" si="79"/>
        <v>0</v>
      </c>
      <c r="H258" s="77">
        <f t="shared" si="87"/>
        <v>43845</v>
      </c>
      <c r="I258" s="77" t="str">
        <f t="shared" si="80"/>
        <v>No</v>
      </c>
      <c r="J258" s="75">
        <f t="shared" si="81"/>
        <v>1</v>
      </c>
      <c r="K258" s="78">
        <f t="shared" si="88"/>
        <v>0</v>
      </c>
      <c r="L258" s="12">
        <v>43718</v>
      </c>
      <c r="M258" s="57">
        <f t="shared" si="82"/>
        <v>25100000</v>
      </c>
      <c r="Q258" s="10">
        <f t="shared" ref="Q258:Q321" si="91">Q257</f>
        <v>0.13</v>
      </c>
      <c r="R258" s="10">
        <f t="shared" si="90"/>
        <v>0</v>
      </c>
      <c r="S258" s="60">
        <f t="shared" si="83"/>
        <v>0.13</v>
      </c>
      <c r="T258" s="57">
        <f t="shared" si="84"/>
        <v>9063.8888888888887</v>
      </c>
      <c r="U258" s="57">
        <f t="shared" si="74"/>
        <v>2269444.4477777909</v>
      </c>
      <c r="V258" s="67">
        <f t="shared" si="75"/>
        <v>0</v>
      </c>
      <c r="Y258" s="97">
        <f t="shared" si="89"/>
        <v>0.13</v>
      </c>
      <c r="Z258" s="57">
        <f t="shared" si="76"/>
        <v>9063.8888888888887</v>
      </c>
      <c r="AA258" s="57">
        <f t="shared" si="85"/>
        <v>2177136.1111111226</v>
      </c>
      <c r="AD258" s="11"/>
    </row>
    <row r="259" spans="1:30" hidden="1" outlineLevel="1" x14ac:dyDescent="0.35">
      <c r="A259" s="75" t="str">
        <f t="shared" si="71"/>
        <v>No</v>
      </c>
      <c r="B259" s="75">
        <f t="shared" si="86"/>
        <v>8</v>
      </c>
      <c r="C259" s="76">
        <f t="shared" si="72"/>
        <v>0</v>
      </c>
      <c r="D259" s="77">
        <f t="shared" si="73"/>
        <v>43753</v>
      </c>
      <c r="E259" s="77" t="str">
        <f t="shared" si="77"/>
        <v>No</v>
      </c>
      <c r="F259" s="75">
        <f t="shared" si="78"/>
        <v>3</v>
      </c>
      <c r="G259" s="78">
        <f t="shared" si="79"/>
        <v>0</v>
      </c>
      <c r="H259" s="77">
        <f t="shared" si="87"/>
        <v>43845</v>
      </c>
      <c r="I259" s="77" t="str">
        <f t="shared" si="80"/>
        <v>No</v>
      </c>
      <c r="J259" s="75">
        <f t="shared" si="81"/>
        <v>1</v>
      </c>
      <c r="K259" s="78">
        <f t="shared" si="88"/>
        <v>0</v>
      </c>
      <c r="L259" s="12">
        <v>43719</v>
      </c>
      <c r="M259" s="57">
        <f t="shared" si="82"/>
        <v>25100000</v>
      </c>
      <c r="Q259" s="10">
        <f t="shared" si="91"/>
        <v>0.13</v>
      </c>
      <c r="R259" s="10">
        <f t="shared" si="90"/>
        <v>0</v>
      </c>
      <c r="S259" s="60">
        <f t="shared" si="83"/>
        <v>0.13</v>
      </c>
      <c r="T259" s="57">
        <f t="shared" si="84"/>
        <v>9063.8888888888887</v>
      </c>
      <c r="U259" s="57">
        <f t="shared" si="74"/>
        <v>2278508.3366666799</v>
      </c>
      <c r="V259" s="67">
        <f t="shared" si="75"/>
        <v>0</v>
      </c>
      <c r="Y259" s="97">
        <f t="shared" si="89"/>
        <v>0.13</v>
      </c>
      <c r="Z259" s="57">
        <f t="shared" si="76"/>
        <v>9063.8888888888887</v>
      </c>
      <c r="AA259" s="57">
        <f t="shared" si="85"/>
        <v>2186200.0000000116</v>
      </c>
      <c r="AD259" s="11"/>
    </row>
    <row r="260" spans="1:30" hidden="1" outlineLevel="1" x14ac:dyDescent="0.35">
      <c r="A260" s="75" t="str">
        <f t="shared" si="71"/>
        <v>No</v>
      </c>
      <c r="B260" s="75">
        <f t="shared" si="86"/>
        <v>8</v>
      </c>
      <c r="C260" s="76">
        <f t="shared" si="72"/>
        <v>0</v>
      </c>
      <c r="D260" s="77">
        <f t="shared" si="73"/>
        <v>43753</v>
      </c>
      <c r="E260" s="77" t="str">
        <f t="shared" si="77"/>
        <v>No</v>
      </c>
      <c r="F260" s="75">
        <f t="shared" si="78"/>
        <v>3</v>
      </c>
      <c r="G260" s="78">
        <f t="shared" si="79"/>
        <v>0</v>
      </c>
      <c r="H260" s="77">
        <f t="shared" si="87"/>
        <v>43845</v>
      </c>
      <c r="I260" s="77" t="str">
        <f t="shared" si="80"/>
        <v>No</v>
      </c>
      <c r="J260" s="75">
        <f t="shared" si="81"/>
        <v>1</v>
      </c>
      <c r="K260" s="78">
        <f t="shared" si="88"/>
        <v>0</v>
      </c>
      <c r="L260" s="12">
        <v>43720</v>
      </c>
      <c r="M260" s="57">
        <f t="shared" si="82"/>
        <v>25100000</v>
      </c>
      <c r="Q260" s="10">
        <f t="shared" si="91"/>
        <v>0.13</v>
      </c>
      <c r="R260" s="10">
        <f t="shared" si="90"/>
        <v>0</v>
      </c>
      <c r="S260" s="60">
        <f t="shared" si="83"/>
        <v>0.13</v>
      </c>
      <c r="T260" s="57">
        <f t="shared" si="84"/>
        <v>9063.8888888888887</v>
      </c>
      <c r="U260" s="57">
        <f t="shared" si="74"/>
        <v>2287572.2255555689</v>
      </c>
      <c r="V260" s="67">
        <f t="shared" si="75"/>
        <v>0</v>
      </c>
      <c r="Y260" s="97">
        <f t="shared" si="89"/>
        <v>0.13</v>
      </c>
      <c r="Z260" s="57">
        <f t="shared" si="76"/>
        <v>9063.8888888888887</v>
      </c>
      <c r="AA260" s="57">
        <f t="shared" si="85"/>
        <v>2195263.8888889006</v>
      </c>
      <c r="AD260" s="11"/>
    </row>
    <row r="261" spans="1:30" hidden="1" outlineLevel="1" x14ac:dyDescent="0.35">
      <c r="A261" s="75" t="str">
        <f t="shared" si="71"/>
        <v>No</v>
      </c>
      <c r="B261" s="75">
        <f t="shared" si="86"/>
        <v>8</v>
      </c>
      <c r="C261" s="76">
        <f t="shared" si="72"/>
        <v>0</v>
      </c>
      <c r="D261" s="77">
        <f t="shared" si="73"/>
        <v>43753</v>
      </c>
      <c r="E261" s="77" t="str">
        <f t="shared" si="77"/>
        <v>No</v>
      </c>
      <c r="F261" s="75">
        <f t="shared" si="78"/>
        <v>3</v>
      </c>
      <c r="G261" s="78">
        <f t="shared" si="79"/>
        <v>0</v>
      </c>
      <c r="H261" s="77">
        <f t="shared" si="87"/>
        <v>43845</v>
      </c>
      <c r="I261" s="77" t="str">
        <f t="shared" si="80"/>
        <v>No</v>
      </c>
      <c r="J261" s="75">
        <f t="shared" si="81"/>
        <v>1</v>
      </c>
      <c r="K261" s="78">
        <f t="shared" si="88"/>
        <v>0</v>
      </c>
      <c r="L261" s="12">
        <v>43721</v>
      </c>
      <c r="M261" s="57">
        <f t="shared" si="82"/>
        <v>25100000</v>
      </c>
      <c r="Q261" s="10">
        <f t="shared" si="91"/>
        <v>0.13</v>
      </c>
      <c r="R261" s="10">
        <f t="shared" si="90"/>
        <v>0</v>
      </c>
      <c r="S261" s="60">
        <f t="shared" si="83"/>
        <v>0.13</v>
      </c>
      <c r="T261" s="57">
        <f t="shared" si="84"/>
        <v>9063.8888888888887</v>
      </c>
      <c r="U261" s="57">
        <f t="shared" si="74"/>
        <v>2296636.1144444579</v>
      </c>
      <c r="V261" s="67">
        <f t="shared" si="75"/>
        <v>0</v>
      </c>
      <c r="Y261" s="97">
        <f t="shared" si="89"/>
        <v>0.13</v>
      </c>
      <c r="Z261" s="57">
        <f t="shared" si="76"/>
        <v>9063.8888888888887</v>
      </c>
      <c r="AA261" s="57">
        <f t="shared" si="85"/>
        <v>2204327.7777777896</v>
      </c>
      <c r="AD261" s="11"/>
    </row>
    <row r="262" spans="1:30" hidden="1" outlineLevel="1" x14ac:dyDescent="0.35">
      <c r="A262" s="75" t="str">
        <f t="shared" si="71"/>
        <v>No</v>
      </c>
      <c r="B262" s="75">
        <f t="shared" si="86"/>
        <v>8</v>
      </c>
      <c r="C262" s="76">
        <f t="shared" si="72"/>
        <v>0</v>
      </c>
      <c r="D262" s="77">
        <f t="shared" si="73"/>
        <v>43753</v>
      </c>
      <c r="E262" s="77" t="str">
        <f t="shared" si="77"/>
        <v>No</v>
      </c>
      <c r="F262" s="75">
        <f t="shared" si="78"/>
        <v>3</v>
      </c>
      <c r="G262" s="78">
        <f t="shared" si="79"/>
        <v>0</v>
      </c>
      <c r="H262" s="77">
        <f t="shared" si="87"/>
        <v>43845</v>
      </c>
      <c r="I262" s="77" t="str">
        <f t="shared" si="80"/>
        <v>No</v>
      </c>
      <c r="J262" s="75">
        <f t="shared" si="81"/>
        <v>1</v>
      </c>
      <c r="K262" s="78">
        <f t="shared" si="88"/>
        <v>0</v>
      </c>
      <c r="L262" s="12">
        <v>43722</v>
      </c>
      <c r="M262" s="57">
        <f t="shared" si="82"/>
        <v>25100000</v>
      </c>
      <c r="Q262" s="10">
        <f t="shared" si="91"/>
        <v>0.13</v>
      </c>
      <c r="R262" s="10">
        <f t="shared" si="90"/>
        <v>0</v>
      </c>
      <c r="S262" s="60">
        <f t="shared" si="83"/>
        <v>0.13</v>
      </c>
      <c r="T262" s="57">
        <f t="shared" si="84"/>
        <v>9063.8888888888887</v>
      </c>
      <c r="U262" s="57">
        <f t="shared" si="74"/>
        <v>2305700.0033333469</v>
      </c>
      <c r="V262" s="67">
        <f t="shared" si="75"/>
        <v>0</v>
      </c>
      <c r="Y262" s="97">
        <f t="shared" si="89"/>
        <v>0.13</v>
      </c>
      <c r="Z262" s="57">
        <f t="shared" si="76"/>
        <v>9063.8888888888887</v>
      </c>
      <c r="AA262" s="57">
        <f t="shared" si="85"/>
        <v>2213391.6666666786</v>
      </c>
      <c r="AD262" s="11"/>
    </row>
    <row r="263" spans="1:30" hidden="1" outlineLevel="1" x14ac:dyDescent="0.35">
      <c r="A263" s="75" t="str">
        <f t="shared" si="71"/>
        <v>Yes</v>
      </c>
      <c r="B263" s="75">
        <f t="shared" si="86"/>
        <v>9</v>
      </c>
      <c r="C263" s="76">
        <f t="shared" si="72"/>
        <v>280980.55555555539</v>
      </c>
      <c r="D263" s="77">
        <f t="shared" si="73"/>
        <v>43753</v>
      </c>
      <c r="E263" s="77" t="str">
        <f t="shared" si="77"/>
        <v>No</v>
      </c>
      <c r="F263" s="75">
        <f t="shared" si="78"/>
        <v>3</v>
      </c>
      <c r="G263" s="78">
        <f t="shared" si="79"/>
        <v>0</v>
      </c>
      <c r="H263" s="77">
        <f t="shared" si="87"/>
        <v>43845</v>
      </c>
      <c r="I263" s="77" t="str">
        <f t="shared" si="80"/>
        <v>No</v>
      </c>
      <c r="J263" s="75">
        <f t="shared" si="81"/>
        <v>1</v>
      </c>
      <c r="K263" s="78">
        <f t="shared" si="88"/>
        <v>0</v>
      </c>
      <c r="L263" s="12">
        <v>43723</v>
      </c>
      <c r="M263" s="57">
        <f t="shared" si="82"/>
        <v>25100000</v>
      </c>
      <c r="Q263" s="10">
        <f t="shared" si="91"/>
        <v>0.13</v>
      </c>
      <c r="R263" s="10">
        <f t="shared" si="90"/>
        <v>0</v>
      </c>
      <c r="S263" s="60">
        <f t="shared" si="83"/>
        <v>0.13</v>
      </c>
      <c r="T263" s="57">
        <f t="shared" si="84"/>
        <v>9063.8888888888887</v>
      </c>
      <c r="U263" s="57">
        <f t="shared" si="74"/>
        <v>2314763.8922222359</v>
      </c>
      <c r="V263" s="67">
        <f t="shared" si="75"/>
        <v>280980.55555555539</v>
      </c>
      <c r="Y263" s="97">
        <f t="shared" si="89"/>
        <v>0.13</v>
      </c>
      <c r="Z263" s="57">
        <f t="shared" si="76"/>
        <v>9063.8888888888887</v>
      </c>
      <c r="AA263" s="57">
        <f t="shared" si="85"/>
        <v>2222455.5555555676</v>
      </c>
      <c r="AD263" s="11"/>
    </row>
    <row r="264" spans="1:30" hidden="1" outlineLevel="1" x14ac:dyDescent="0.35">
      <c r="A264" s="75" t="str">
        <f t="shared" si="71"/>
        <v>No</v>
      </c>
      <c r="B264" s="75">
        <f t="shared" si="86"/>
        <v>9</v>
      </c>
      <c r="C264" s="76">
        <f t="shared" si="72"/>
        <v>0</v>
      </c>
      <c r="D264" s="77">
        <f t="shared" si="73"/>
        <v>43753</v>
      </c>
      <c r="E264" s="77" t="str">
        <f t="shared" si="77"/>
        <v>No</v>
      </c>
      <c r="F264" s="75">
        <f t="shared" si="78"/>
        <v>3</v>
      </c>
      <c r="G264" s="78">
        <f t="shared" si="79"/>
        <v>0</v>
      </c>
      <c r="H264" s="77">
        <f t="shared" si="87"/>
        <v>43845</v>
      </c>
      <c r="I264" s="77" t="str">
        <f t="shared" si="80"/>
        <v>No</v>
      </c>
      <c r="J264" s="75">
        <f t="shared" si="81"/>
        <v>1</v>
      </c>
      <c r="K264" s="78">
        <f t="shared" si="88"/>
        <v>0</v>
      </c>
      <c r="L264" s="12">
        <v>43724</v>
      </c>
      <c r="M264" s="57">
        <f t="shared" si="82"/>
        <v>25100000</v>
      </c>
      <c r="Q264" s="10">
        <f t="shared" si="91"/>
        <v>0.13</v>
      </c>
      <c r="R264" s="10">
        <f t="shared" si="90"/>
        <v>0</v>
      </c>
      <c r="S264" s="60">
        <f t="shared" si="83"/>
        <v>0.13</v>
      </c>
      <c r="T264" s="57">
        <f t="shared" si="84"/>
        <v>9063.8888888888887</v>
      </c>
      <c r="U264" s="57">
        <f t="shared" si="74"/>
        <v>2323827.7811111249</v>
      </c>
      <c r="V264" s="67">
        <f t="shared" si="75"/>
        <v>0</v>
      </c>
      <c r="Y264" s="97">
        <f t="shared" si="89"/>
        <v>0.13</v>
      </c>
      <c r="Z264" s="57">
        <f t="shared" si="76"/>
        <v>9063.8888888888887</v>
      </c>
      <c r="AA264" s="57">
        <f t="shared" si="85"/>
        <v>2231519.4444444566</v>
      </c>
      <c r="AD264" s="11"/>
    </row>
    <row r="265" spans="1:30" hidden="1" outlineLevel="1" x14ac:dyDescent="0.35">
      <c r="A265" s="75" t="str">
        <f t="shared" si="71"/>
        <v>No</v>
      </c>
      <c r="B265" s="75">
        <f t="shared" si="86"/>
        <v>9</v>
      </c>
      <c r="C265" s="76">
        <f t="shared" si="72"/>
        <v>0</v>
      </c>
      <c r="D265" s="77">
        <f t="shared" si="73"/>
        <v>43753</v>
      </c>
      <c r="E265" s="77" t="str">
        <f t="shared" si="77"/>
        <v>No</v>
      </c>
      <c r="F265" s="75">
        <f t="shared" si="78"/>
        <v>3</v>
      </c>
      <c r="G265" s="78">
        <f t="shared" si="79"/>
        <v>0</v>
      </c>
      <c r="H265" s="77">
        <f t="shared" si="87"/>
        <v>43845</v>
      </c>
      <c r="I265" s="77" t="str">
        <f t="shared" si="80"/>
        <v>No</v>
      </c>
      <c r="J265" s="75">
        <f t="shared" si="81"/>
        <v>1</v>
      </c>
      <c r="K265" s="78">
        <f t="shared" si="88"/>
        <v>0</v>
      </c>
      <c r="L265" s="12">
        <v>43725</v>
      </c>
      <c r="M265" s="57">
        <f t="shared" si="82"/>
        <v>25100000</v>
      </c>
      <c r="Q265" s="10">
        <f t="shared" si="91"/>
        <v>0.13</v>
      </c>
      <c r="R265" s="10">
        <f t="shared" si="90"/>
        <v>0</v>
      </c>
      <c r="S265" s="60">
        <f t="shared" si="83"/>
        <v>0.13</v>
      </c>
      <c r="T265" s="57">
        <f t="shared" si="84"/>
        <v>9063.8888888888887</v>
      </c>
      <c r="U265" s="57">
        <f t="shared" si="74"/>
        <v>2332891.6700000139</v>
      </c>
      <c r="V265" s="67">
        <f t="shared" si="75"/>
        <v>0</v>
      </c>
      <c r="Y265" s="97">
        <f t="shared" si="89"/>
        <v>0.13</v>
      </c>
      <c r="Z265" s="57">
        <f t="shared" si="76"/>
        <v>9063.8888888888887</v>
      </c>
      <c r="AA265" s="57">
        <f t="shared" si="85"/>
        <v>2240583.3333333456</v>
      </c>
      <c r="AD265" s="11"/>
    </row>
    <row r="266" spans="1:30" hidden="1" outlineLevel="1" x14ac:dyDescent="0.35">
      <c r="A266" s="75" t="str">
        <f t="shared" si="71"/>
        <v>No</v>
      </c>
      <c r="B266" s="75">
        <f t="shared" si="86"/>
        <v>9</v>
      </c>
      <c r="C266" s="76">
        <f t="shared" si="72"/>
        <v>0</v>
      </c>
      <c r="D266" s="77">
        <f t="shared" si="73"/>
        <v>43753</v>
      </c>
      <c r="E266" s="77" t="str">
        <f t="shared" si="77"/>
        <v>No</v>
      </c>
      <c r="F266" s="75">
        <f t="shared" si="78"/>
        <v>3</v>
      </c>
      <c r="G266" s="78">
        <f t="shared" si="79"/>
        <v>0</v>
      </c>
      <c r="H266" s="77">
        <f t="shared" si="87"/>
        <v>43845</v>
      </c>
      <c r="I266" s="77" t="str">
        <f t="shared" si="80"/>
        <v>No</v>
      </c>
      <c r="J266" s="75">
        <f t="shared" si="81"/>
        <v>1</v>
      </c>
      <c r="K266" s="78">
        <f t="shared" si="88"/>
        <v>0</v>
      </c>
      <c r="L266" s="12">
        <v>43726</v>
      </c>
      <c r="M266" s="57">
        <f t="shared" si="82"/>
        <v>25100000</v>
      </c>
      <c r="Q266" s="10">
        <f t="shared" si="91"/>
        <v>0.13</v>
      </c>
      <c r="R266" s="10">
        <f t="shared" si="90"/>
        <v>0</v>
      </c>
      <c r="S266" s="60">
        <f t="shared" si="83"/>
        <v>0.13</v>
      </c>
      <c r="T266" s="57">
        <f t="shared" si="84"/>
        <v>9063.8888888888887</v>
      </c>
      <c r="U266" s="57">
        <f t="shared" si="74"/>
        <v>2341955.5588889029</v>
      </c>
      <c r="V266" s="67">
        <f t="shared" si="75"/>
        <v>0</v>
      </c>
      <c r="Y266" s="97">
        <f t="shared" si="89"/>
        <v>0.13</v>
      </c>
      <c r="Z266" s="57">
        <f t="shared" si="76"/>
        <v>9063.8888888888887</v>
      </c>
      <c r="AA266" s="57">
        <f t="shared" si="85"/>
        <v>2249647.2222222346</v>
      </c>
      <c r="AD266" s="11"/>
    </row>
    <row r="267" spans="1:30" hidden="1" outlineLevel="1" x14ac:dyDescent="0.35">
      <c r="A267" s="75" t="str">
        <f t="shared" si="71"/>
        <v>No</v>
      </c>
      <c r="B267" s="75">
        <f t="shared" si="86"/>
        <v>9</v>
      </c>
      <c r="C267" s="76">
        <f t="shared" si="72"/>
        <v>0</v>
      </c>
      <c r="D267" s="77">
        <f t="shared" si="73"/>
        <v>43753</v>
      </c>
      <c r="E267" s="77" t="str">
        <f t="shared" si="77"/>
        <v>No</v>
      </c>
      <c r="F267" s="75">
        <f t="shared" si="78"/>
        <v>3</v>
      </c>
      <c r="G267" s="78">
        <f t="shared" si="79"/>
        <v>0</v>
      </c>
      <c r="H267" s="77">
        <f t="shared" si="87"/>
        <v>43845</v>
      </c>
      <c r="I267" s="77" t="str">
        <f t="shared" si="80"/>
        <v>No</v>
      </c>
      <c r="J267" s="75">
        <f t="shared" si="81"/>
        <v>1</v>
      </c>
      <c r="K267" s="78">
        <f t="shared" si="88"/>
        <v>0</v>
      </c>
      <c r="L267" s="12">
        <v>43727</v>
      </c>
      <c r="M267" s="57">
        <f t="shared" si="82"/>
        <v>25100000</v>
      </c>
      <c r="Q267" s="10">
        <f t="shared" si="91"/>
        <v>0.13</v>
      </c>
      <c r="R267" s="10">
        <f t="shared" si="90"/>
        <v>0</v>
      </c>
      <c r="S267" s="60">
        <f t="shared" si="83"/>
        <v>0.13</v>
      </c>
      <c r="T267" s="57">
        <f t="shared" si="84"/>
        <v>9063.8888888888887</v>
      </c>
      <c r="U267" s="57">
        <f t="shared" si="74"/>
        <v>2351019.4477777919</v>
      </c>
      <c r="V267" s="67">
        <f t="shared" si="75"/>
        <v>0</v>
      </c>
      <c r="Y267" s="97">
        <f t="shared" si="89"/>
        <v>0.13</v>
      </c>
      <c r="Z267" s="57">
        <f t="shared" si="76"/>
        <v>9063.8888888888887</v>
      </c>
      <c r="AA267" s="57">
        <f t="shared" si="85"/>
        <v>2258711.1111111236</v>
      </c>
      <c r="AD267" s="11"/>
    </row>
    <row r="268" spans="1:30" hidden="1" outlineLevel="1" x14ac:dyDescent="0.35">
      <c r="A268" s="75" t="str">
        <f t="shared" si="71"/>
        <v>No</v>
      </c>
      <c r="B268" s="75">
        <f t="shared" si="86"/>
        <v>9</v>
      </c>
      <c r="C268" s="76">
        <f t="shared" si="72"/>
        <v>0</v>
      </c>
      <c r="D268" s="77">
        <f t="shared" si="73"/>
        <v>43753</v>
      </c>
      <c r="E268" s="77" t="str">
        <f t="shared" si="77"/>
        <v>No</v>
      </c>
      <c r="F268" s="75">
        <f t="shared" si="78"/>
        <v>3</v>
      </c>
      <c r="G268" s="78">
        <f t="shared" si="79"/>
        <v>0</v>
      </c>
      <c r="H268" s="77">
        <f t="shared" si="87"/>
        <v>43845</v>
      </c>
      <c r="I268" s="77" t="str">
        <f t="shared" si="80"/>
        <v>No</v>
      </c>
      <c r="J268" s="75">
        <f t="shared" si="81"/>
        <v>1</v>
      </c>
      <c r="K268" s="78">
        <f t="shared" si="88"/>
        <v>0</v>
      </c>
      <c r="L268" s="12">
        <v>43728</v>
      </c>
      <c r="M268" s="57">
        <f t="shared" si="82"/>
        <v>25100000</v>
      </c>
      <c r="Q268" s="10">
        <f t="shared" si="91"/>
        <v>0.13</v>
      </c>
      <c r="R268" s="10">
        <f t="shared" si="90"/>
        <v>0</v>
      </c>
      <c r="S268" s="60">
        <f t="shared" si="83"/>
        <v>0.13</v>
      </c>
      <c r="T268" s="57">
        <f t="shared" si="84"/>
        <v>9063.8888888888887</v>
      </c>
      <c r="U268" s="57">
        <f t="shared" si="74"/>
        <v>2360083.3366666809</v>
      </c>
      <c r="V268" s="67">
        <f t="shared" si="75"/>
        <v>0</v>
      </c>
      <c r="Y268" s="97">
        <f t="shared" si="89"/>
        <v>0.13</v>
      </c>
      <c r="Z268" s="57">
        <f t="shared" si="76"/>
        <v>9063.8888888888887</v>
      </c>
      <c r="AA268" s="57">
        <f t="shared" si="85"/>
        <v>2267775.0000000126</v>
      </c>
      <c r="AD268" s="11"/>
    </row>
    <row r="269" spans="1:30" hidden="1" outlineLevel="1" x14ac:dyDescent="0.35">
      <c r="A269" s="75" t="str">
        <f t="shared" si="71"/>
        <v>No</v>
      </c>
      <c r="B269" s="75">
        <f t="shared" si="86"/>
        <v>9</v>
      </c>
      <c r="C269" s="76">
        <f t="shared" si="72"/>
        <v>0</v>
      </c>
      <c r="D269" s="77">
        <f t="shared" si="73"/>
        <v>43753</v>
      </c>
      <c r="E269" s="77" t="str">
        <f t="shared" si="77"/>
        <v>No</v>
      </c>
      <c r="F269" s="75">
        <f t="shared" si="78"/>
        <v>3</v>
      </c>
      <c r="G269" s="78">
        <f t="shared" si="79"/>
        <v>0</v>
      </c>
      <c r="H269" s="77">
        <f t="shared" si="87"/>
        <v>43845</v>
      </c>
      <c r="I269" s="77" t="str">
        <f t="shared" si="80"/>
        <v>No</v>
      </c>
      <c r="J269" s="75">
        <f t="shared" si="81"/>
        <v>1</v>
      </c>
      <c r="K269" s="78">
        <f t="shared" si="88"/>
        <v>0</v>
      </c>
      <c r="L269" s="12">
        <v>43729</v>
      </c>
      <c r="M269" s="57">
        <f t="shared" si="82"/>
        <v>25100000</v>
      </c>
      <c r="Q269" s="10">
        <f t="shared" si="91"/>
        <v>0.13</v>
      </c>
      <c r="R269" s="10">
        <f t="shared" si="90"/>
        <v>0</v>
      </c>
      <c r="S269" s="60">
        <f t="shared" si="83"/>
        <v>0.13</v>
      </c>
      <c r="T269" s="57">
        <f t="shared" si="84"/>
        <v>9063.8888888888887</v>
      </c>
      <c r="U269" s="57">
        <f t="shared" si="74"/>
        <v>2369147.2255555699</v>
      </c>
      <c r="V269" s="67">
        <f t="shared" si="75"/>
        <v>0</v>
      </c>
      <c r="Y269" s="97">
        <f t="shared" si="89"/>
        <v>0.13</v>
      </c>
      <c r="Z269" s="57">
        <f t="shared" si="76"/>
        <v>9063.8888888888887</v>
      </c>
      <c r="AA269" s="57">
        <f t="shared" si="85"/>
        <v>2276838.8888889016</v>
      </c>
      <c r="AD269" s="11"/>
    </row>
    <row r="270" spans="1:30" hidden="1" outlineLevel="1" x14ac:dyDescent="0.35">
      <c r="A270" s="75" t="str">
        <f t="shared" si="71"/>
        <v>No</v>
      </c>
      <c r="B270" s="75">
        <f t="shared" si="86"/>
        <v>9</v>
      </c>
      <c r="C270" s="76">
        <f t="shared" si="72"/>
        <v>0</v>
      </c>
      <c r="D270" s="77">
        <f t="shared" si="73"/>
        <v>43753</v>
      </c>
      <c r="E270" s="77" t="str">
        <f t="shared" si="77"/>
        <v>No</v>
      </c>
      <c r="F270" s="75">
        <f t="shared" si="78"/>
        <v>3</v>
      </c>
      <c r="G270" s="78">
        <f t="shared" si="79"/>
        <v>0</v>
      </c>
      <c r="H270" s="77">
        <f t="shared" si="87"/>
        <v>43845</v>
      </c>
      <c r="I270" s="77" t="str">
        <f t="shared" si="80"/>
        <v>No</v>
      </c>
      <c r="J270" s="75">
        <f t="shared" si="81"/>
        <v>1</v>
      </c>
      <c r="K270" s="78">
        <f t="shared" si="88"/>
        <v>0</v>
      </c>
      <c r="L270" s="12">
        <v>43730</v>
      </c>
      <c r="M270" s="57">
        <f t="shared" si="82"/>
        <v>25100000</v>
      </c>
      <c r="Q270" s="10">
        <f t="shared" si="91"/>
        <v>0.13</v>
      </c>
      <c r="R270" s="10">
        <f t="shared" si="90"/>
        <v>0</v>
      </c>
      <c r="S270" s="60">
        <f t="shared" si="83"/>
        <v>0.13</v>
      </c>
      <c r="T270" s="57">
        <f t="shared" si="84"/>
        <v>9063.8888888888887</v>
      </c>
      <c r="U270" s="57">
        <f t="shared" si="74"/>
        <v>2378211.1144444589</v>
      </c>
      <c r="V270" s="67">
        <f t="shared" si="75"/>
        <v>0</v>
      </c>
      <c r="Y270" s="97">
        <f t="shared" si="89"/>
        <v>0.13</v>
      </c>
      <c r="Z270" s="57">
        <f t="shared" si="76"/>
        <v>9063.8888888888887</v>
      </c>
      <c r="AA270" s="57">
        <f t="shared" si="85"/>
        <v>2285902.7777777906</v>
      </c>
      <c r="AD270" s="11"/>
    </row>
    <row r="271" spans="1:30" hidden="1" outlineLevel="1" x14ac:dyDescent="0.35">
      <c r="A271" s="75" t="str">
        <f t="shared" si="71"/>
        <v>No</v>
      </c>
      <c r="B271" s="75">
        <f t="shared" si="86"/>
        <v>9</v>
      </c>
      <c r="C271" s="76">
        <f t="shared" si="72"/>
        <v>0</v>
      </c>
      <c r="D271" s="77">
        <f t="shared" si="73"/>
        <v>43753</v>
      </c>
      <c r="E271" s="77" t="str">
        <f t="shared" si="77"/>
        <v>No</v>
      </c>
      <c r="F271" s="75">
        <f t="shared" si="78"/>
        <v>3</v>
      </c>
      <c r="G271" s="78">
        <f t="shared" si="79"/>
        <v>0</v>
      </c>
      <c r="H271" s="77">
        <f t="shared" si="87"/>
        <v>43845</v>
      </c>
      <c r="I271" s="77" t="str">
        <f t="shared" si="80"/>
        <v>No</v>
      </c>
      <c r="J271" s="75">
        <f t="shared" si="81"/>
        <v>1</v>
      </c>
      <c r="K271" s="78">
        <f t="shared" si="88"/>
        <v>0</v>
      </c>
      <c r="L271" s="12">
        <v>43731</v>
      </c>
      <c r="M271" s="57">
        <f t="shared" si="82"/>
        <v>25100000</v>
      </c>
      <c r="Q271" s="10">
        <f t="shared" si="91"/>
        <v>0.13</v>
      </c>
      <c r="R271" s="10">
        <f t="shared" si="90"/>
        <v>0</v>
      </c>
      <c r="S271" s="60">
        <f t="shared" si="83"/>
        <v>0.13</v>
      </c>
      <c r="T271" s="57">
        <f t="shared" si="84"/>
        <v>9063.8888888888887</v>
      </c>
      <c r="U271" s="57">
        <f t="shared" si="74"/>
        <v>2387275.0033333478</v>
      </c>
      <c r="V271" s="67">
        <f t="shared" si="75"/>
        <v>0</v>
      </c>
      <c r="Y271" s="97">
        <f t="shared" si="89"/>
        <v>0.13</v>
      </c>
      <c r="Z271" s="57">
        <f t="shared" si="76"/>
        <v>9063.8888888888887</v>
      </c>
      <c r="AA271" s="57">
        <f t="shared" si="85"/>
        <v>2294966.6666666795</v>
      </c>
      <c r="AD271" s="11"/>
    </row>
    <row r="272" spans="1:30" hidden="1" outlineLevel="1" x14ac:dyDescent="0.35">
      <c r="A272" s="75" t="str">
        <f t="shared" si="71"/>
        <v>No</v>
      </c>
      <c r="B272" s="75">
        <f t="shared" si="86"/>
        <v>9</v>
      </c>
      <c r="C272" s="76">
        <f t="shared" si="72"/>
        <v>0</v>
      </c>
      <c r="D272" s="77">
        <f t="shared" si="73"/>
        <v>43753</v>
      </c>
      <c r="E272" s="77" t="str">
        <f t="shared" si="77"/>
        <v>No</v>
      </c>
      <c r="F272" s="75">
        <f t="shared" si="78"/>
        <v>3</v>
      </c>
      <c r="G272" s="78">
        <f t="shared" si="79"/>
        <v>0</v>
      </c>
      <c r="H272" s="77">
        <f t="shared" si="87"/>
        <v>43845</v>
      </c>
      <c r="I272" s="77" t="str">
        <f t="shared" si="80"/>
        <v>No</v>
      </c>
      <c r="J272" s="75">
        <f t="shared" si="81"/>
        <v>1</v>
      </c>
      <c r="K272" s="78">
        <f t="shared" si="88"/>
        <v>0</v>
      </c>
      <c r="L272" s="12">
        <v>43732</v>
      </c>
      <c r="M272" s="57">
        <f t="shared" si="82"/>
        <v>25100000</v>
      </c>
      <c r="Q272" s="10">
        <f t="shared" si="91"/>
        <v>0.13</v>
      </c>
      <c r="R272" s="10">
        <f t="shared" si="90"/>
        <v>0</v>
      </c>
      <c r="S272" s="60">
        <f t="shared" si="83"/>
        <v>0.13</v>
      </c>
      <c r="T272" s="57">
        <f t="shared" si="84"/>
        <v>9063.8888888888887</v>
      </c>
      <c r="U272" s="57">
        <f t="shared" si="74"/>
        <v>2396338.8922222368</v>
      </c>
      <c r="V272" s="67">
        <f t="shared" si="75"/>
        <v>0</v>
      </c>
      <c r="Y272" s="97">
        <f t="shared" si="89"/>
        <v>0.13</v>
      </c>
      <c r="Z272" s="57">
        <f t="shared" si="76"/>
        <v>9063.8888888888887</v>
      </c>
      <c r="AA272" s="57">
        <f t="shared" si="85"/>
        <v>2304030.5555555685</v>
      </c>
      <c r="AD272" s="11"/>
    </row>
    <row r="273" spans="1:30" hidden="1" outlineLevel="1" x14ac:dyDescent="0.35">
      <c r="A273" s="75" t="str">
        <f t="shared" si="71"/>
        <v>No</v>
      </c>
      <c r="B273" s="75">
        <f t="shared" si="86"/>
        <v>9</v>
      </c>
      <c r="C273" s="76">
        <f t="shared" si="72"/>
        <v>0</v>
      </c>
      <c r="D273" s="77">
        <f t="shared" si="73"/>
        <v>43753</v>
      </c>
      <c r="E273" s="77" t="str">
        <f t="shared" si="77"/>
        <v>No</v>
      </c>
      <c r="F273" s="75">
        <f t="shared" si="78"/>
        <v>3</v>
      </c>
      <c r="G273" s="78">
        <f t="shared" si="79"/>
        <v>0</v>
      </c>
      <c r="H273" s="77">
        <f t="shared" si="87"/>
        <v>43845</v>
      </c>
      <c r="I273" s="77" t="str">
        <f t="shared" si="80"/>
        <v>No</v>
      </c>
      <c r="J273" s="75">
        <f t="shared" si="81"/>
        <v>1</v>
      </c>
      <c r="K273" s="78">
        <f t="shared" si="88"/>
        <v>0</v>
      </c>
      <c r="L273" s="12">
        <v>43733</v>
      </c>
      <c r="M273" s="57">
        <f t="shared" si="82"/>
        <v>25100000</v>
      </c>
      <c r="Q273" s="10">
        <f t="shared" si="91"/>
        <v>0.13</v>
      </c>
      <c r="R273" s="10">
        <f t="shared" si="90"/>
        <v>0</v>
      </c>
      <c r="S273" s="60">
        <f t="shared" si="83"/>
        <v>0.13</v>
      </c>
      <c r="T273" s="57">
        <f t="shared" si="84"/>
        <v>9063.8888888888887</v>
      </c>
      <c r="U273" s="57">
        <f t="shared" si="74"/>
        <v>2405402.7811111258</v>
      </c>
      <c r="V273" s="67">
        <f t="shared" si="75"/>
        <v>0</v>
      </c>
      <c r="Y273" s="97">
        <f t="shared" si="89"/>
        <v>0.13</v>
      </c>
      <c r="Z273" s="57">
        <f t="shared" si="76"/>
        <v>9063.8888888888887</v>
      </c>
      <c r="AA273" s="57">
        <f t="shared" si="85"/>
        <v>2313094.4444444575</v>
      </c>
      <c r="AD273" s="11"/>
    </row>
    <row r="274" spans="1:30" hidden="1" outlineLevel="1" x14ac:dyDescent="0.35">
      <c r="A274" s="75" t="str">
        <f t="shared" si="71"/>
        <v>No</v>
      </c>
      <c r="B274" s="75">
        <f t="shared" si="86"/>
        <v>9</v>
      </c>
      <c r="C274" s="76">
        <f t="shared" si="72"/>
        <v>0</v>
      </c>
      <c r="D274" s="77">
        <f t="shared" si="73"/>
        <v>43753</v>
      </c>
      <c r="E274" s="77" t="str">
        <f t="shared" si="77"/>
        <v>No</v>
      </c>
      <c r="F274" s="75">
        <f t="shared" si="78"/>
        <v>3</v>
      </c>
      <c r="G274" s="78">
        <f t="shared" si="79"/>
        <v>0</v>
      </c>
      <c r="H274" s="77">
        <f t="shared" si="87"/>
        <v>43845</v>
      </c>
      <c r="I274" s="77" t="str">
        <f t="shared" si="80"/>
        <v>No</v>
      </c>
      <c r="J274" s="75">
        <f t="shared" si="81"/>
        <v>1</v>
      </c>
      <c r="K274" s="78">
        <f t="shared" si="88"/>
        <v>0</v>
      </c>
      <c r="L274" s="12">
        <v>43734</v>
      </c>
      <c r="M274" s="57">
        <f t="shared" si="82"/>
        <v>25100000</v>
      </c>
      <c r="Q274" s="10">
        <f t="shared" si="91"/>
        <v>0.13</v>
      </c>
      <c r="R274" s="10">
        <f t="shared" si="90"/>
        <v>0</v>
      </c>
      <c r="S274" s="60">
        <f t="shared" si="83"/>
        <v>0.13</v>
      </c>
      <c r="T274" s="57">
        <f t="shared" si="84"/>
        <v>9063.8888888888887</v>
      </c>
      <c r="U274" s="57">
        <f t="shared" si="74"/>
        <v>2414466.6700000148</v>
      </c>
      <c r="V274" s="67">
        <f t="shared" si="75"/>
        <v>0</v>
      </c>
      <c r="Y274" s="97">
        <f t="shared" si="89"/>
        <v>0.13</v>
      </c>
      <c r="Z274" s="57">
        <f t="shared" si="76"/>
        <v>9063.8888888888887</v>
      </c>
      <c r="AA274" s="57">
        <f t="shared" si="85"/>
        <v>2322158.3333333465</v>
      </c>
      <c r="AD274" s="11"/>
    </row>
    <row r="275" spans="1:30" hidden="1" outlineLevel="1" x14ac:dyDescent="0.35">
      <c r="A275" s="75" t="str">
        <f t="shared" si="71"/>
        <v>No</v>
      </c>
      <c r="B275" s="75">
        <f t="shared" si="86"/>
        <v>9</v>
      </c>
      <c r="C275" s="76">
        <f t="shared" si="72"/>
        <v>0</v>
      </c>
      <c r="D275" s="77">
        <f t="shared" si="73"/>
        <v>43753</v>
      </c>
      <c r="E275" s="77" t="str">
        <f t="shared" si="77"/>
        <v>No</v>
      </c>
      <c r="F275" s="75">
        <f t="shared" si="78"/>
        <v>3</v>
      </c>
      <c r="G275" s="78">
        <f t="shared" si="79"/>
        <v>0</v>
      </c>
      <c r="H275" s="77">
        <f t="shared" si="87"/>
        <v>43845</v>
      </c>
      <c r="I275" s="77" t="str">
        <f t="shared" si="80"/>
        <v>No</v>
      </c>
      <c r="J275" s="75">
        <f t="shared" si="81"/>
        <v>1</v>
      </c>
      <c r="K275" s="78">
        <f t="shared" si="88"/>
        <v>0</v>
      </c>
      <c r="L275" s="12">
        <v>43735</v>
      </c>
      <c r="M275" s="57">
        <f t="shared" si="82"/>
        <v>25100000</v>
      </c>
      <c r="Q275" s="10">
        <f t="shared" si="91"/>
        <v>0.13</v>
      </c>
      <c r="R275" s="10">
        <f t="shared" si="90"/>
        <v>0</v>
      </c>
      <c r="S275" s="60">
        <f t="shared" si="83"/>
        <v>0.13</v>
      </c>
      <c r="T275" s="57">
        <f t="shared" si="84"/>
        <v>9063.8888888888887</v>
      </c>
      <c r="U275" s="57">
        <f t="shared" si="74"/>
        <v>2423530.5588889038</v>
      </c>
      <c r="V275" s="67">
        <f t="shared" si="75"/>
        <v>0</v>
      </c>
      <c r="Y275" s="97">
        <f t="shared" si="89"/>
        <v>0.13</v>
      </c>
      <c r="Z275" s="57">
        <f t="shared" si="76"/>
        <v>9063.8888888888887</v>
      </c>
      <c r="AA275" s="57">
        <f t="shared" si="85"/>
        <v>2331222.2222222355</v>
      </c>
      <c r="AD275" s="11"/>
    </row>
    <row r="276" spans="1:30" hidden="1" outlineLevel="1" x14ac:dyDescent="0.35">
      <c r="A276" s="75" t="str">
        <f t="shared" ref="A276:A339" si="92">IF(DAY(L276)=DAY(nFirst),"Yes","No")</f>
        <v>No</v>
      </c>
      <c r="B276" s="75">
        <f t="shared" si="86"/>
        <v>9</v>
      </c>
      <c r="C276" s="76">
        <f t="shared" ref="C276:C339" si="93">IF(A276="Yes",SUMIFS($T$20:$T$435,$B$20:$B$435,B276-1),0)</f>
        <v>0</v>
      </c>
      <c r="D276" s="77">
        <f t="shared" ref="D276:D339" si="94">IF(AND(L276&gt;L275,L276&lt;D275),D275,EDATE(L276,3))</f>
        <v>43753</v>
      </c>
      <c r="E276" s="77" t="str">
        <f t="shared" si="77"/>
        <v>No</v>
      </c>
      <c r="F276" s="75">
        <f t="shared" si="78"/>
        <v>3</v>
      </c>
      <c r="G276" s="78">
        <f t="shared" si="79"/>
        <v>0</v>
      </c>
      <c r="H276" s="77">
        <f t="shared" si="87"/>
        <v>43845</v>
      </c>
      <c r="I276" s="77" t="str">
        <f t="shared" si="80"/>
        <v>No</v>
      </c>
      <c r="J276" s="75">
        <f t="shared" si="81"/>
        <v>1</v>
      </c>
      <c r="K276" s="78">
        <f t="shared" si="88"/>
        <v>0</v>
      </c>
      <c r="L276" s="12">
        <v>43736</v>
      </c>
      <c r="M276" s="57">
        <f t="shared" si="82"/>
        <v>25100000</v>
      </c>
      <c r="Q276" s="10">
        <f t="shared" si="91"/>
        <v>0.13</v>
      </c>
      <c r="R276" s="10">
        <f t="shared" si="90"/>
        <v>0</v>
      </c>
      <c r="S276" s="60">
        <f t="shared" si="83"/>
        <v>0.13</v>
      </c>
      <c r="T276" s="57">
        <f t="shared" si="84"/>
        <v>9063.8888888888887</v>
      </c>
      <c r="U276" s="57">
        <f t="shared" ref="U276:U339" si="95">T276+U275+W275+X275</f>
        <v>2432594.4477777928</v>
      </c>
      <c r="V276" s="67">
        <f t="shared" ref="V276:V339" si="96">IF(rngFrequency="Monthly",C276,IF(rngFrequency="Quarterly",G276,IF(rngFrequency="Yearly",K276,FALSE)))</f>
        <v>0</v>
      </c>
      <c r="Y276" s="97">
        <f t="shared" si="89"/>
        <v>0.13</v>
      </c>
      <c r="Z276" s="57">
        <f t="shared" ref="Z276:Z339" si="97">M276*Y276*(1/360)</f>
        <v>9063.8888888888887</v>
      </c>
      <c r="AA276" s="57">
        <f t="shared" si="85"/>
        <v>2340286.1111111245</v>
      </c>
      <c r="AD276" s="11"/>
    </row>
    <row r="277" spans="1:30" hidden="1" outlineLevel="1" x14ac:dyDescent="0.35">
      <c r="A277" s="75" t="str">
        <f t="shared" si="92"/>
        <v>No</v>
      </c>
      <c r="B277" s="75">
        <f t="shared" si="86"/>
        <v>9</v>
      </c>
      <c r="C277" s="76">
        <f t="shared" si="93"/>
        <v>0</v>
      </c>
      <c r="D277" s="77">
        <f t="shared" si="94"/>
        <v>43753</v>
      </c>
      <c r="E277" s="77" t="str">
        <f t="shared" ref="E277:E340" si="98">IF(D277=D276,"No","Yes")</f>
        <v>No</v>
      </c>
      <c r="F277" s="75">
        <f t="shared" ref="F277:F340" si="99">IF(E277="Yes",F276+1,F276)</f>
        <v>3</v>
      </c>
      <c r="G277" s="78">
        <f t="shared" ref="G277:G340" si="100">IF(E277="Yes",SUMIFS($T$20:$T$435,$F$20:$F$435,F277-1),0)</f>
        <v>0</v>
      </c>
      <c r="H277" s="77">
        <f t="shared" si="87"/>
        <v>43845</v>
      </c>
      <c r="I277" s="77" t="str">
        <f t="shared" ref="I277:I340" si="101">IF(H277=H276,"No","Yes")</f>
        <v>No</v>
      </c>
      <c r="J277" s="75">
        <f t="shared" ref="J277:J340" si="102">IF(I277="Yes",J276+1,J276)</f>
        <v>1</v>
      </c>
      <c r="K277" s="78">
        <f t="shared" si="88"/>
        <v>0</v>
      </c>
      <c r="L277" s="12">
        <v>43737</v>
      </c>
      <c r="M277" s="57">
        <f t="shared" ref="M277:M340" si="103">M276+N277+O277+P277</f>
        <v>25100000</v>
      </c>
      <c r="Q277" s="10">
        <f t="shared" si="91"/>
        <v>0.13</v>
      </c>
      <c r="R277" s="10">
        <f t="shared" si="90"/>
        <v>0</v>
      </c>
      <c r="S277" s="60">
        <f t="shared" ref="S277:S340" si="104">Q277+R277</f>
        <v>0.13</v>
      </c>
      <c r="T277" s="57">
        <f t="shared" ref="T277:T340" si="105">M277*S277*(1/360)</f>
        <v>9063.8888888888887</v>
      </c>
      <c r="U277" s="57">
        <f t="shared" si="95"/>
        <v>2441658.3366666818</v>
      </c>
      <c r="V277" s="67">
        <f t="shared" si="96"/>
        <v>0</v>
      </c>
      <c r="Y277" s="97">
        <f t="shared" si="89"/>
        <v>0.13</v>
      </c>
      <c r="Z277" s="57">
        <f t="shared" si="97"/>
        <v>9063.8888888888887</v>
      </c>
      <c r="AA277" s="57">
        <f t="shared" ref="AA277:AA340" si="106">Z277+AA276+AB276+AC276</f>
        <v>2349350.0000000135</v>
      </c>
      <c r="AD277" s="11"/>
    </row>
    <row r="278" spans="1:30" hidden="1" outlineLevel="1" x14ac:dyDescent="0.35">
      <c r="A278" s="75" t="str">
        <f t="shared" si="92"/>
        <v>No</v>
      </c>
      <c r="B278" s="75">
        <f t="shared" ref="B278:B341" si="107">IF(A278="Yes",B277+1,B277)</f>
        <v>9</v>
      </c>
      <c r="C278" s="76">
        <f t="shared" si="93"/>
        <v>0</v>
      </c>
      <c r="D278" s="77">
        <f t="shared" si="94"/>
        <v>43753</v>
      </c>
      <c r="E278" s="77" t="str">
        <f t="shared" si="98"/>
        <v>No</v>
      </c>
      <c r="F278" s="75">
        <f t="shared" si="99"/>
        <v>3</v>
      </c>
      <c r="G278" s="78">
        <f t="shared" si="100"/>
        <v>0</v>
      </c>
      <c r="H278" s="77">
        <f t="shared" ref="H278:H341" si="108">IF(AND(L278&gt;L277,L278&lt;H277),H277,EDATE(L278,12))</f>
        <v>43845</v>
      </c>
      <c r="I278" s="77" t="str">
        <f t="shared" si="101"/>
        <v>No</v>
      </c>
      <c r="J278" s="75">
        <f t="shared" si="102"/>
        <v>1</v>
      </c>
      <c r="K278" s="78">
        <f t="shared" si="88"/>
        <v>0</v>
      </c>
      <c r="L278" s="12">
        <v>43738</v>
      </c>
      <c r="M278" s="57">
        <f t="shared" si="103"/>
        <v>25100000</v>
      </c>
      <c r="Q278" s="10">
        <f t="shared" si="91"/>
        <v>0.13</v>
      </c>
      <c r="R278" s="10">
        <f t="shared" si="90"/>
        <v>0</v>
      </c>
      <c r="S278" s="60">
        <f t="shared" si="104"/>
        <v>0.13</v>
      </c>
      <c r="T278" s="57">
        <f t="shared" si="105"/>
        <v>9063.8888888888887</v>
      </c>
      <c r="U278" s="57">
        <f t="shared" si="95"/>
        <v>2450722.2255555708</v>
      </c>
      <c r="V278" s="67">
        <f t="shared" si="96"/>
        <v>0</v>
      </c>
      <c r="Y278" s="97">
        <f t="shared" si="89"/>
        <v>0.13</v>
      </c>
      <c r="Z278" s="57">
        <f t="shared" si="97"/>
        <v>9063.8888888888887</v>
      </c>
      <c r="AA278" s="57">
        <f t="shared" si="106"/>
        <v>2358413.8888889025</v>
      </c>
      <c r="AD278" s="11"/>
    </row>
    <row r="279" spans="1:30" hidden="1" outlineLevel="1" x14ac:dyDescent="0.35">
      <c r="A279" s="75" t="str">
        <f t="shared" si="92"/>
        <v>No</v>
      </c>
      <c r="B279" s="75">
        <f t="shared" si="107"/>
        <v>9</v>
      </c>
      <c r="C279" s="76">
        <f t="shared" si="93"/>
        <v>0</v>
      </c>
      <c r="D279" s="77">
        <f t="shared" si="94"/>
        <v>43753</v>
      </c>
      <c r="E279" s="77" t="str">
        <f t="shared" si="98"/>
        <v>No</v>
      </c>
      <c r="F279" s="75">
        <f t="shared" si="99"/>
        <v>3</v>
      </c>
      <c r="G279" s="78">
        <f t="shared" si="100"/>
        <v>0</v>
      </c>
      <c r="H279" s="77">
        <f t="shared" si="108"/>
        <v>43845</v>
      </c>
      <c r="I279" s="77" t="str">
        <f t="shared" si="101"/>
        <v>No</v>
      </c>
      <c r="J279" s="75">
        <f t="shared" si="102"/>
        <v>1</v>
      </c>
      <c r="K279" s="78">
        <f t="shared" si="88"/>
        <v>0</v>
      </c>
      <c r="L279" s="12">
        <v>43739</v>
      </c>
      <c r="M279" s="57">
        <f t="shared" si="103"/>
        <v>25100000</v>
      </c>
      <c r="Q279" s="10">
        <f t="shared" si="91"/>
        <v>0.13</v>
      </c>
      <c r="R279" s="10">
        <f t="shared" si="90"/>
        <v>0</v>
      </c>
      <c r="S279" s="60">
        <f t="shared" si="104"/>
        <v>0.13</v>
      </c>
      <c r="T279" s="57">
        <f t="shared" si="105"/>
        <v>9063.8888888888887</v>
      </c>
      <c r="U279" s="57">
        <f t="shared" si="95"/>
        <v>2459786.1144444598</v>
      </c>
      <c r="V279" s="67">
        <f t="shared" si="96"/>
        <v>0</v>
      </c>
      <c r="Y279" s="97">
        <f t="shared" si="89"/>
        <v>0.13</v>
      </c>
      <c r="Z279" s="57">
        <f t="shared" si="97"/>
        <v>9063.8888888888887</v>
      </c>
      <c r="AA279" s="57">
        <f t="shared" si="106"/>
        <v>2367477.7777777915</v>
      </c>
      <c r="AD279" s="11"/>
    </row>
    <row r="280" spans="1:30" hidden="1" outlineLevel="1" x14ac:dyDescent="0.35">
      <c r="A280" s="75" t="str">
        <f t="shared" si="92"/>
        <v>No</v>
      </c>
      <c r="B280" s="75">
        <f t="shared" si="107"/>
        <v>9</v>
      </c>
      <c r="C280" s="76">
        <f t="shared" si="93"/>
        <v>0</v>
      </c>
      <c r="D280" s="77">
        <f t="shared" si="94"/>
        <v>43753</v>
      </c>
      <c r="E280" s="77" t="str">
        <f t="shared" si="98"/>
        <v>No</v>
      </c>
      <c r="F280" s="75">
        <f t="shared" si="99"/>
        <v>3</v>
      </c>
      <c r="G280" s="78">
        <f t="shared" si="100"/>
        <v>0</v>
      </c>
      <c r="H280" s="77">
        <f t="shared" si="108"/>
        <v>43845</v>
      </c>
      <c r="I280" s="77" t="str">
        <f t="shared" si="101"/>
        <v>No</v>
      </c>
      <c r="J280" s="75">
        <f t="shared" si="102"/>
        <v>1</v>
      </c>
      <c r="K280" s="78">
        <f t="shared" si="88"/>
        <v>0</v>
      </c>
      <c r="L280" s="12">
        <v>43740</v>
      </c>
      <c r="M280" s="57">
        <f t="shared" si="103"/>
        <v>25100000</v>
      </c>
      <c r="Q280" s="10">
        <f t="shared" si="91"/>
        <v>0.13</v>
      </c>
      <c r="R280" s="10">
        <f t="shared" si="90"/>
        <v>0</v>
      </c>
      <c r="S280" s="60">
        <f t="shared" si="104"/>
        <v>0.13</v>
      </c>
      <c r="T280" s="57">
        <f t="shared" si="105"/>
        <v>9063.8888888888887</v>
      </c>
      <c r="U280" s="57">
        <f t="shared" si="95"/>
        <v>2468850.0033333488</v>
      </c>
      <c r="V280" s="67">
        <f t="shared" si="96"/>
        <v>0</v>
      </c>
      <c r="Y280" s="97">
        <f t="shared" si="89"/>
        <v>0.13</v>
      </c>
      <c r="Z280" s="57">
        <f t="shared" si="97"/>
        <v>9063.8888888888887</v>
      </c>
      <c r="AA280" s="57">
        <f t="shared" si="106"/>
        <v>2376541.6666666805</v>
      </c>
      <c r="AD280" s="11"/>
    </row>
    <row r="281" spans="1:30" hidden="1" outlineLevel="1" x14ac:dyDescent="0.35">
      <c r="A281" s="75" t="str">
        <f t="shared" si="92"/>
        <v>No</v>
      </c>
      <c r="B281" s="75">
        <f t="shared" si="107"/>
        <v>9</v>
      </c>
      <c r="C281" s="76">
        <f t="shared" si="93"/>
        <v>0</v>
      </c>
      <c r="D281" s="77">
        <f t="shared" si="94"/>
        <v>43753</v>
      </c>
      <c r="E281" s="77" t="str">
        <f t="shared" si="98"/>
        <v>No</v>
      </c>
      <c r="F281" s="75">
        <f t="shared" si="99"/>
        <v>3</v>
      </c>
      <c r="G281" s="78">
        <f t="shared" si="100"/>
        <v>0</v>
      </c>
      <c r="H281" s="77">
        <f t="shared" si="108"/>
        <v>43845</v>
      </c>
      <c r="I281" s="77" t="str">
        <f t="shared" si="101"/>
        <v>No</v>
      </c>
      <c r="J281" s="75">
        <f t="shared" si="102"/>
        <v>1</v>
      </c>
      <c r="K281" s="78">
        <f t="shared" si="88"/>
        <v>0</v>
      </c>
      <c r="L281" s="12">
        <v>43741</v>
      </c>
      <c r="M281" s="57">
        <f t="shared" si="103"/>
        <v>25100000</v>
      </c>
      <c r="Q281" s="10">
        <f t="shared" si="91"/>
        <v>0.13</v>
      </c>
      <c r="R281" s="10">
        <f t="shared" si="90"/>
        <v>0</v>
      </c>
      <c r="S281" s="60">
        <f t="shared" si="104"/>
        <v>0.13</v>
      </c>
      <c r="T281" s="57">
        <f t="shared" si="105"/>
        <v>9063.8888888888887</v>
      </c>
      <c r="U281" s="57">
        <f t="shared" si="95"/>
        <v>2477913.8922222378</v>
      </c>
      <c r="V281" s="67">
        <f t="shared" si="96"/>
        <v>0</v>
      </c>
      <c r="Y281" s="97">
        <f t="shared" si="89"/>
        <v>0.13</v>
      </c>
      <c r="Z281" s="57">
        <f t="shared" si="97"/>
        <v>9063.8888888888887</v>
      </c>
      <c r="AA281" s="57">
        <f t="shared" si="106"/>
        <v>2385605.5555555695</v>
      </c>
      <c r="AD281" s="11"/>
    </row>
    <row r="282" spans="1:30" hidden="1" outlineLevel="1" x14ac:dyDescent="0.35">
      <c r="A282" s="75" t="str">
        <f t="shared" si="92"/>
        <v>No</v>
      </c>
      <c r="B282" s="75">
        <f t="shared" si="107"/>
        <v>9</v>
      </c>
      <c r="C282" s="76">
        <f t="shared" si="93"/>
        <v>0</v>
      </c>
      <c r="D282" s="77">
        <f t="shared" si="94"/>
        <v>43753</v>
      </c>
      <c r="E282" s="77" t="str">
        <f t="shared" si="98"/>
        <v>No</v>
      </c>
      <c r="F282" s="75">
        <f t="shared" si="99"/>
        <v>3</v>
      </c>
      <c r="G282" s="78">
        <f t="shared" si="100"/>
        <v>0</v>
      </c>
      <c r="H282" s="77">
        <f t="shared" si="108"/>
        <v>43845</v>
      </c>
      <c r="I282" s="77" t="str">
        <f t="shared" si="101"/>
        <v>No</v>
      </c>
      <c r="J282" s="75">
        <f t="shared" si="102"/>
        <v>1</v>
      </c>
      <c r="K282" s="78">
        <f t="shared" si="88"/>
        <v>0</v>
      </c>
      <c r="L282" s="12">
        <v>43742</v>
      </c>
      <c r="M282" s="57">
        <f t="shared" si="103"/>
        <v>25100000</v>
      </c>
      <c r="Q282" s="10">
        <f t="shared" si="91"/>
        <v>0.13</v>
      </c>
      <c r="R282" s="10">
        <f t="shared" si="90"/>
        <v>0</v>
      </c>
      <c r="S282" s="60">
        <f t="shared" si="104"/>
        <v>0.13</v>
      </c>
      <c r="T282" s="57">
        <f t="shared" si="105"/>
        <v>9063.8888888888887</v>
      </c>
      <c r="U282" s="57">
        <f t="shared" si="95"/>
        <v>2486977.7811111268</v>
      </c>
      <c r="V282" s="67">
        <f t="shared" si="96"/>
        <v>0</v>
      </c>
      <c r="Y282" s="97">
        <f t="shared" si="89"/>
        <v>0.13</v>
      </c>
      <c r="Z282" s="57">
        <f t="shared" si="97"/>
        <v>9063.8888888888887</v>
      </c>
      <c r="AA282" s="57">
        <f t="shared" si="106"/>
        <v>2394669.4444444585</v>
      </c>
      <c r="AD282" s="11"/>
    </row>
    <row r="283" spans="1:30" hidden="1" outlineLevel="1" x14ac:dyDescent="0.35">
      <c r="A283" s="75" t="str">
        <f t="shared" si="92"/>
        <v>No</v>
      </c>
      <c r="B283" s="75">
        <f t="shared" si="107"/>
        <v>9</v>
      </c>
      <c r="C283" s="76">
        <f t="shared" si="93"/>
        <v>0</v>
      </c>
      <c r="D283" s="77">
        <f t="shared" si="94"/>
        <v>43753</v>
      </c>
      <c r="E283" s="77" t="str">
        <f t="shared" si="98"/>
        <v>No</v>
      </c>
      <c r="F283" s="75">
        <f t="shared" si="99"/>
        <v>3</v>
      </c>
      <c r="G283" s="78">
        <f t="shared" si="100"/>
        <v>0</v>
      </c>
      <c r="H283" s="77">
        <f t="shared" si="108"/>
        <v>43845</v>
      </c>
      <c r="I283" s="77" t="str">
        <f t="shared" si="101"/>
        <v>No</v>
      </c>
      <c r="J283" s="75">
        <f t="shared" si="102"/>
        <v>1</v>
      </c>
      <c r="K283" s="78">
        <f t="shared" si="88"/>
        <v>0</v>
      </c>
      <c r="L283" s="12">
        <v>43743</v>
      </c>
      <c r="M283" s="57">
        <f t="shared" si="103"/>
        <v>25100000</v>
      </c>
      <c r="Q283" s="10">
        <f t="shared" si="91"/>
        <v>0.13</v>
      </c>
      <c r="R283" s="10">
        <f t="shared" si="90"/>
        <v>0</v>
      </c>
      <c r="S283" s="60">
        <f t="shared" si="104"/>
        <v>0.13</v>
      </c>
      <c r="T283" s="57">
        <f t="shared" si="105"/>
        <v>9063.8888888888887</v>
      </c>
      <c r="U283" s="57">
        <f t="shared" si="95"/>
        <v>2496041.6700000158</v>
      </c>
      <c r="V283" s="67">
        <f t="shared" si="96"/>
        <v>0</v>
      </c>
      <c r="Y283" s="97">
        <f t="shared" si="89"/>
        <v>0.13</v>
      </c>
      <c r="Z283" s="57">
        <f t="shared" si="97"/>
        <v>9063.8888888888887</v>
      </c>
      <c r="AA283" s="57">
        <f t="shared" si="106"/>
        <v>2403733.3333333475</v>
      </c>
      <c r="AD283" s="11"/>
    </row>
    <row r="284" spans="1:30" hidden="1" outlineLevel="1" x14ac:dyDescent="0.35">
      <c r="A284" s="75" t="str">
        <f t="shared" si="92"/>
        <v>No</v>
      </c>
      <c r="B284" s="75">
        <f t="shared" si="107"/>
        <v>9</v>
      </c>
      <c r="C284" s="76">
        <f t="shared" si="93"/>
        <v>0</v>
      </c>
      <c r="D284" s="77">
        <f t="shared" si="94"/>
        <v>43753</v>
      </c>
      <c r="E284" s="77" t="str">
        <f t="shared" si="98"/>
        <v>No</v>
      </c>
      <c r="F284" s="75">
        <f t="shared" si="99"/>
        <v>3</v>
      </c>
      <c r="G284" s="78">
        <f t="shared" si="100"/>
        <v>0</v>
      </c>
      <c r="H284" s="77">
        <f t="shared" si="108"/>
        <v>43845</v>
      </c>
      <c r="I284" s="77" t="str">
        <f t="shared" si="101"/>
        <v>No</v>
      </c>
      <c r="J284" s="75">
        <f t="shared" si="102"/>
        <v>1</v>
      </c>
      <c r="K284" s="78">
        <f t="shared" si="88"/>
        <v>0</v>
      </c>
      <c r="L284" s="12">
        <v>43744</v>
      </c>
      <c r="M284" s="57">
        <f t="shared" si="103"/>
        <v>25100000</v>
      </c>
      <c r="Q284" s="10">
        <f t="shared" si="91"/>
        <v>0.13</v>
      </c>
      <c r="R284" s="10">
        <f t="shared" si="90"/>
        <v>0</v>
      </c>
      <c r="S284" s="60">
        <f t="shared" si="104"/>
        <v>0.13</v>
      </c>
      <c r="T284" s="57">
        <f t="shared" si="105"/>
        <v>9063.8888888888887</v>
      </c>
      <c r="U284" s="57">
        <f t="shared" si="95"/>
        <v>2505105.5588889048</v>
      </c>
      <c r="V284" s="67">
        <f t="shared" si="96"/>
        <v>0</v>
      </c>
      <c r="Y284" s="97">
        <f t="shared" si="89"/>
        <v>0.13</v>
      </c>
      <c r="Z284" s="57">
        <f t="shared" si="97"/>
        <v>9063.8888888888887</v>
      </c>
      <c r="AA284" s="57">
        <f t="shared" si="106"/>
        <v>2412797.2222222365</v>
      </c>
      <c r="AD284" s="11"/>
    </row>
    <row r="285" spans="1:30" hidden="1" outlineLevel="1" x14ac:dyDescent="0.35">
      <c r="A285" s="75" t="str">
        <f t="shared" si="92"/>
        <v>No</v>
      </c>
      <c r="B285" s="75">
        <f t="shared" si="107"/>
        <v>9</v>
      </c>
      <c r="C285" s="76">
        <f t="shared" si="93"/>
        <v>0</v>
      </c>
      <c r="D285" s="77">
        <f t="shared" si="94"/>
        <v>43753</v>
      </c>
      <c r="E285" s="77" t="str">
        <f t="shared" si="98"/>
        <v>No</v>
      </c>
      <c r="F285" s="75">
        <f t="shared" si="99"/>
        <v>3</v>
      </c>
      <c r="G285" s="78">
        <f t="shared" si="100"/>
        <v>0</v>
      </c>
      <c r="H285" s="77">
        <f t="shared" si="108"/>
        <v>43845</v>
      </c>
      <c r="I285" s="77" t="str">
        <f t="shared" si="101"/>
        <v>No</v>
      </c>
      <c r="J285" s="75">
        <f t="shared" si="102"/>
        <v>1</v>
      </c>
      <c r="K285" s="78">
        <f t="shared" ref="K285:K348" si="109">IF(I285="Yes",SUMIFS($T$20:$T$435,$J$20:$J$435,J285-1),0)</f>
        <v>0</v>
      </c>
      <c r="L285" s="12">
        <v>43745</v>
      </c>
      <c r="M285" s="57">
        <f t="shared" si="103"/>
        <v>25100000</v>
      </c>
      <c r="Q285" s="10">
        <f t="shared" si="91"/>
        <v>0.13</v>
      </c>
      <c r="R285" s="10">
        <f t="shared" si="90"/>
        <v>0</v>
      </c>
      <c r="S285" s="60">
        <f t="shared" si="104"/>
        <v>0.13</v>
      </c>
      <c r="T285" s="57">
        <f t="shared" si="105"/>
        <v>9063.8888888888887</v>
      </c>
      <c r="U285" s="57">
        <f t="shared" si="95"/>
        <v>2514169.4477777937</v>
      </c>
      <c r="V285" s="67">
        <f t="shared" si="96"/>
        <v>0</v>
      </c>
      <c r="Y285" s="97">
        <f t="shared" si="89"/>
        <v>0.13</v>
      </c>
      <c r="Z285" s="57">
        <f t="shared" si="97"/>
        <v>9063.8888888888887</v>
      </c>
      <c r="AA285" s="57">
        <f t="shared" si="106"/>
        <v>2421861.1111111254</v>
      </c>
      <c r="AD285" s="11"/>
    </row>
    <row r="286" spans="1:30" hidden="1" outlineLevel="1" x14ac:dyDescent="0.35">
      <c r="A286" s="75" t="str">
        <f t="shared" si="92"/>
        <v>No</v>
      </c>
      <c r="B286" s="75">
        <f t="shared" si="107"/>
        <v>9</v>
      </c>
      <c r="C286" s="76">
        <f t="shared" si="93"/>
        <v>0</v>
      </c>
      <c r="D286" s="77">
        <f t="shared" si="94"/>
        <v>43753</v>
      </c>
      <c r="E286" s="77" t="str">
        <f t="shared" si="98"/>
        <v>No</v>
      </c>
      <c r="F286" s="75">
        <f t="shared" si="99"/>
        <v>3</v>
      </c>
      <c r="G286" s="78">
        <f t="shared" si="100"/>
        <v>0</v>
      </c>
      <c r="H286" s="77">
        <f t="shared" si="108"/>
        <v>43845</v>
      </c>
      <c r="I286" s="77" t="str">
        <f t="shared" si="101"/>
        <v>No</v>
      </c>
      <c r="J286" s="75">
        <f t="shared" si="102"/>
        <v>1</v>
      </c>
      <c r="K286" s="78">
        <f t="shared" si="109"/>
        <v>0</v>
      </c>
      <c r="L286" s="12">
        <v>43746</v>
      </c>
      <c r="M286" s="57">
        <f t="shared" si="103"/>
        <v>25100000</v>
      </c>
      <c r="Q286" s="10">
        <f t="shared" si="91"/>
        <v>0.13</v>
      </c>
      <c r="R286" s="10">
        <f t="shared" si="90"/>
        <v>0</v>
      </c>
      <c r="S286" s="60">
        <f t="shared" si="104"/>
        <v>0.13</v>
      </c>
      <c r="T286" s="57">
        <f t="shared" si="105"/>
        <v>9063.8888888888887</v>
      </c>
      <c r="U286" s="57">
        <f t="shared" si="95"/>
        <v>2523233.3366666827</v>
      </c>
      <c r="V286" s="67">
        <f t="shared" si="96"/>
        <v>0</v>
      </c>
      <c r="Y286" s="97">
        <f t="shared" si="89"/>
        <v>0.13</v>
      </c>
      <c r="Z286" s="57">
        <f t="shared" si="97"/>
        <v>9063.8888888888887</v>
      </c>
      <c r="AA286" s="57">
        <f t="shared" si="106"/>
        <v>2430925.0000000144</v>
      </c>
      <c r="AD286" s="11"/>
    </row>
    <row r="287" spans="1:30" hidden="1" outlineLevel="1" x14ac:dyDescent="0.35">
      <c r="A287" s="75" t="str">
        <f t="shared" si="92"/>
        <v>No</v>
      </c>
      <c r="B287" s="75">
        <f t="shared" si="107"/>
        <v>9</v>
      </c>
      <c r="C287" s="76">
        <f t="shared" si="93"/>
        <v>0</v>
      </c>
      <c r="D287" s="77">
        <f t="shared" si="94"/>
        <v>43753</v>
      </c>
      <c r="E287" s="77" t="str">
        <f t="shared" si="98"/>
        <v>No</v>
      </c>
      <c r="F287" s="75">
        <f t="shared" si="99"/>
        <v>3</v>
      </c>
      <c r="G287" s="78">
        <f t="shared" si="100"/>
        <v>0</v>
      </c>
      <c r="H287" s="77">
        <f t="shared" si="108"/>
        <v>43845</v>
      </c>
      <c r="I287" s="77" t="str">
        <f t="shared" si="101"/>
        <v>No</v>
      </c>
      <c r="J287" s="75">
        <f t="shared" si="102"/>
        <v>1</v>
      </c>
      <c r="K287" s="78">
        <f t="shared" si="109"/>
        <v>0</v>
      </c>
      <c r="L287" s="12">
        <v>43747</v>
      </c>
      <c r="M287" s="57">
        <f t="shared" si="103"/>
        <v>25100000</v>
      </c>
      <c r="Q287" s="10">
        <f t="shared" si="91"/>
        <v>0.13</v>
      </c>
      <c r="R287" s="10">
        <f t="shared" si="90"/>
        <v>0</v>
      </c>
      <c r="S287" s="60">
        <f t="shared" si="104"/>
        <v>0.13</v>
      </c>
      <c r="T287" s="57">
        <f t="shared" si="105"/>
        <v>9063.8888888888887</v>
      </c>
      <c r="U287" s="57">
        <f t="shared" si="95"/>
        <v>2532297.2255555717</v>
      </c>
      <c r="V287" s="67">
        <f t="shared" si="96"/>
        <v>0</v>
      </c>
      <c r="Y287" s="97">
        <f t="shared" si="89"/>
        <v>0.13</v>
      </c>
      <c r="Z287" s="57">
        <f t="shared" si="97"/>
        <v>9063.8888888888887</v>
      </c>
      <c r="AA287" s="57">
        <f t="shared" si="106"/>
        <v>2439988.8888889034</v>
      </c>
      <c r="AD287" s="11"/>
    </row>
    <row r="288" spans="1:30" hidden="1" outlineLevel="1" x14ac:dyDescent="0.35">
      <c r="A288" s="75" t="str">
        <f t="shared" si="92"/>
        <v>No</v>
      </c>
      <c r="B288" s="75">
        <f t="shared" si="107"/>
        <v>9</v>
      </c>
      <c r="C288" s="76">
        <f t="shared" si="93"/>
        <v>0</v>
      </c>
      <c r="D288" s="77">
        <f t="shared" si="94"/>
        <v>43753</v>
      </c>
      <c r="E288" s="77" t="str">
        <f t="shared" si="98"/>
        <v>No</v>
      </c>
      <c r="F288" s="75">
        <f t="shared" si="99"/>
        <v>3</v>
      </c>
      <c r="G288" s="78">
        <f t="shared" si="100"/>
        <v>0</v>
      </c>
      <c r="H288" s="77">
        <f t="shared" si="108"/>
        <v>43845</v>
      </c>
      <c r="I288" s="77" t="str">
        <f t="shared" si="101"/>
        <v>No</v>
      </c>
      <c r="J288" s="75">
        <f t="shared" si="102"/>
        <v>1</v>
      </c>
      <c r="K288" s="78">
        <f t="shared" si="109"/>
        <v>0</v>
      </c>
      <c r="L288" s="12">
        <v>43748</v>
      </c>
      <c r="M288" s="57">
        <f t="shared" si="103"/>
        <v>25100000</v>
      </c>
      <c r="Q288" s="10">
        <f t="shared" si="91"/>
        <v>0.13</v>
      </c>
      <c r="R288" s="10">
        <f t="shared" si="90"/>
        <v>0</v>
      </c>
      <c r="S288" s="60">
        <f t="shared" si="104"/>
        <v>0.13</v>
      </c>
      <c r="T288" s="57">
        <f t="shared" si="105"/>
        <v>9063.8888888888887</v>
      </c>
      <c r="U288" s="57">
        <f t="shared" si="95"/>
        <v>2541361.1144444607</v>
      </c>
      <c r="V288" s="67">
        <f t="shared" si="96"/>
        <v>0</v>
      </c>
      <c r="Y288" s="97">
        <f t="shared" si="89"/>
        <v>0.13</v>
      </c>
      <c r="Z288" s="57">
        <f t="shared" si="97"/>
        <v>9063.8888888888887</v>
      </c>
      <c r="AA288" s="57">
        <f t="shared" si="106"/>
        <v>2449052.7777777924</v>
      </c>
      <c r="AD288" s="11"/>
    </row>
    <row r="289" spans="1:30" hidden="1" outlineLevel="1" x14ac:dyDescent="0.35">
      <c r="A289" s="75" t="str">
        <f t="shared" si="92"/>
        <v>No</v>
      </c>
      <c r="B289" s="75">
        <f t="shared" si="107"/>
        <v>9</v>
      </c>
      <c r="C289" s="76">
        <f t="shared" si="93"/>
        <v>0</v>
      </c>
      <c r="D289" s="77">
        <f t="shared" si="94"/>
        <v>43753</v>
      </c>
      <c r="E289" s="77" t="str">
        <f t="shared" si="98"/>
        <v>No</v>
      </c>
      <c r="F289" s="75">
        <f t="shared" si="99"/>
        <v>3</v>
      </c>
      <c r="G289" s="78">
        <f t="shared" si="100"/>
        <v>0</v>
      </c>
      <c r="H289" s="77">
        <f t="shared" si="108"/>
        <v>43845</v>
      </c>
      <c r="I289" s="77" t="str">
        <f t="shared" si="101"/>
        <v>No</v>
      </c>
      <c r="J289" s="75">
        <f t="shared" si="102"/>
        <v>1</v>
      </c>
      <c r="K289" s="78">
        <f t="shared" si="109"/>
        <v>0</v>
      </c>
      <c r="L289" s="12">
        <v>43749</v>
      </c>
      <c r="M289" s="57">
        <f t="shared" si="103"/>
        <v>25100000</v>
      </c>
      <c r="Q289" s="10">
        <f t="shared" si="91"/>
        <v>0.13</v>
      </c>
      <c r="R289" s="10">
        <f t="shared" si="90"/>
        <v>0</v>
      </c>
      <c r="S289" s="60">
        <f t="shared" si="104"/>
        <v>0.13</v>
      </c>
      <c r="T289" s="57">
        <f t="shared" si="105"/>
        <v>9063.8888888888887</v>
      </c>
      <c r="U289" s="57">
        <f t="shared" si="95"/>
        <v>2550425.0033333497</v>
      </c>
      <c r="V289" s="67">
        <f t="shared" si="96"/>
        <v>0</v>
      </c>
      <c r="Y289" s="97">
        <f t="shared" si="89"/>
        <v>0.13</v>
      </c>
      <c r="Z289" s="57">
        <f t="shared" si="97"/>
        <v>9063.8888888888887</v>
      </c>
      <c r="AA289" s="57">
        <f t="shared" si="106"/>
        <v>2458116.6666666814</v>
      </c>
      <c r="AD289" s="11"/>
    </row>
    <row r="290" spans="1:30" hidden="1" outlineLevel="1" x14ac:dyDescent="0.35">
      <c r="A290" s="75" t="str">
        <f t="shared" si="92"/>
        <v>No</v>
      </c>
      <c r="B290" s="75">
        <f t="shared" si="107"/>
        <v>9</v>
      </c>
      <c r="C290" s="76">
        <f t="shared" si="93"/>
        <v>0</v>
      </c>
      <c r="D290" s="77">
        <f t="shared" si="94"/>
        <v>43753</v>
      </c>
      <c r="E290" s="77" t="str">
        <f t="shared" si="98"/>
        <v>No</v>
      </c>
      <c r="F290" s="75">
        <f t="shared" si="99"/>
        <v>3</v>
      </c>
      <c r="G290" s="78">
        <f t="shared" si="100"/>
        <v>0</v>
      </c>
      <c r="H290" s="77">
        <f t="shared" si="108"/>
        <v>43845</v>
      </c>
      <c r="I290" s="77" t="str">
        <f t="shared" si="101"/>
        <v>No</v>
      </c>
      <c r="J290" s="75">
        <f t="shared" si="102"/>
        <v>1</v>
      </c>
      <c r="K290" s="78">
        <f t="shared" si="109"/>
        <v>0</v>
      </c>
      <c r="L290" s="12">
        <v>43750</v>
      </c>
      <c r="M290" s="57">
        <f t="shared" si="103"/>
        <v>25100000</v>
      </c>
      <c r="Q290" s="10">
        <f t="shared" si="91"/>
        <v>0.13</v>
      </c>
      <c r="R290" s="10">
        <f t="shared" si="90"/>
        <v>0</v>
      </c>
      <c r="S290" s="60">
        <f t="shared" si="104"/>
        <v>0.13</v>
      </c>
      <c r="T290" s="57">
        <f t="shared" si="105"/>
        <v>9063.8888888888887</v>
      </c>
      <c r="U290" s="57">
        <f t="shared" si="95"/>
        <v>2559488.8922222387</v>
      </c>
      <c r="V290" s="67">
        <f t="shared" si="96"/>
        <v>0</v>
      </c>
      <c r="Y290" s="97">
        <f t="shared" si="89"/>
        <v>0.13</v>
      </c>
      <c r="Z290" s="57">
        <f t="shared" si="97"/>
        <v>9063.8888888888887</v>
      </c>
      <c r="AA290" s="57">
        <f t="shared" si="106"/>
        <v>2467180.5555555704</v>
      </c>
      <c r="AD290" s="11"/>
    </row>
    <row r="291" spans="1:30" hidden="1" outlineLevel="1" x14ac:dyDescent="0.35">
      <c r="A291" s="75" t="str">
        <f t="shared" si="92"/>
        <v>No</v>
      </c>
      <c r="B291" s="75">
        <f t="shared" si="107"/>
        <v>9</v>
      </c>
      <c r="C291" s="76">
        <f t="shared" si="93"/>
        <v>0</v>
      </c>
      <c r="D291" s="77">
        <f t="shared" si="94"/>
        <v>43753</v>
      </c>
      <c r="E291" s="77" t="str">
        <f t="shared" si="98"/>
        <v>No</v>
      </c>
      <c r="F291" s="75">
        <f t="shared" si="99"/>
        <v>3</v>
      </c>
      <c r="G291" s="78">
        <f t="shared" si="100"/>
        <v>0</v>
      </c>
      <c r="H291" s="77">
        <f t="shared" si="108"/>
        <v>43845</v>
      </c>
      <c r="I291" s="77" t="str">
        <f t="shared" si="101"/>
        <v>No</v>
      </c>
      <c r="J291" s="75">
        <f t="shared" si="102"/>
        <v>1</v>
      </c>
      <c r="K291" s="78">
        <f t="shared" si="109"/>
        <v>0</v>
      </c>
      <c r="L291" s="12">
        <v>43751</v>
      </c>
      <c r="M291" s="57">
        <f t="shared" si="103"/>
        <v>25100000</v>
      </c>
      <c r="Q291" s="10">
        <f t="shared" si="91"/>
        <v>0.13</v>
      </c>
      <c r="R291" s="10">
        <f t="shared" si="90"/>
        <v>0</v>
      </c>
      <c r="S291" s="60">
        <f t="shared" si="104"/>
        <v>0.13</v>
      </c>
      <c r="T291" s="57">
        <f t="shared" si="105"/>
        <v>9063.8888888888887</v>
      </c>
      <c r="U291" s="57">
        <f t="shared" si="95"/>
        <v>2568552.7811111277</v>
      </c>
      <c r="V291" s="67">
        <f t="shared" si="96"/>
        <v>0</v>
      </c>
      <c r="Y291" s="97">
        <f t="shared" si="89"/>
        <v>0.13</v>
      </c>
      <c r="Z291" s="57">
        <f t="shared" si="97"/>
        <v>9063.8888888888887</v>
      </c>
      <c r="AA291" s="57">
        <f t="shared" si="106"/>
        <v>2476244.4444444594</v>
      </c>
      <c r="AD291" s="11"/>
    </row>
    <row r="292" spans="1:30" hidden="1" outlineLevel="1" x14ac:dyDescent="0.35">
      <c r="A292" s="75" t="str">
        <f t="shared" si="92"/>
        <v>No</v>
      </c>
      <c r="B292" s="75">
        <f t="shared" si="107"/>
        <v>9</v>
      </c>
      <c r="C292" s="76">
        <f t="shared" si="93"/>
        <v>0</v>
      </c>
      <c r="D292" s="77">
        <f t="shared" si="94"/>
        <v>43753</v>
      </c>
      <c r="E292" s="77" t="str">
        <f t="shared" si="98"/>
        <v>No</v>
      </c>
      <c r="F292" s="75">
        <f t="shared" si="99"/>
        <v>3</v>
      </c>
      <c r="G292" s="78">
        <f t="shared" si="100"/>
        <v>0</v>
      </c>
      <c r="H292" s="77">
        <f t="shared" si="108"/>
        <v>43845</v>
      </c>
      <c r="I292" s="77" t="str">
        <f t="shared" si="101"/>
        <v>No</v>
      </c>
      <c r="J292" s="75">
        <f t="shared" si="102"/>
        <v>1</v>
      </c>
      <c r="K292" s="78">
        <f t="shared" si="109"/>
        <v>0</v>
      </c>
      <c r="L292" s="12">
        <v>43752</v>
      </c>
      <c r="M292" s="57">
        <f t="shared" si="103"/>
        <v>25100000</v>
      </c>
      <c r="Q292" s="10">
        <f t="shared" si="91"/>
        <v>0.13</v>
      </c>
      <c r="R292" s="10">
        <f t="shared" si="90"/>
        <v>0</v>
      </c>
      <c r="S292" s="60">
        <f t="shared" si="104"/>
        <v>0.13</v>
      </c>
      <c r="T292" s="57">
        <f t="shared" si="105"/>
        <v>9063.8888888888887</v>
      </c>
      <c r="U292" s="57">
        <f t="shared" si="95"/>
        <v>2577616.6700000167</v>
      </c>
      <c r="V292" s="67">
        <f t="shared" si="96"/>
        <v>0</v>
      </c>
      <c r="Y292" s="97">
        <f t="shared" si="89"/>
        <v>0.13</v>
      </c>
      <c r="Z292" s="57">
        <f t="shared" si="97"/>
        <v>9063.8888888888887</v>
      </c>
      <c r="AA292" s="57">
        <f t="shared" si="106"/>
        <v>2485308.3333333484</v>
      </c>
      <c r="AD292" s="11"/>
    </row>
    <row r="293" spans="1:30" hidden="1" outlineLevel="1" x14ac:dyDescent="0.35">
      <c r="A293" s="75" t="str">
        <f t="shared" si="92"/>
        <v>Yes</v>
      </c>
      <c r="B293" s="75">
        <f t="shared" si="107"/>
        <v>10</v>
      </c>
      <c r="C293" s="76">
        <f t="shared" si="93"/>
        <v>271916.66666666651</v>
      </c>
      <c r="D293" s="77">
        <f t="shared" si="94"/>
        <v>43845</v>
      </c>
      <c r="E293" s="77" t="str">
        <f t="shared" si="98"/>
        <v>Yes</v>
      </c>
      <c r="F293" s="75">
        <f t="shared" si="99"/>
        <v>4</v>
      </c>
      <c r="G293" s="78">
        <f t="shared" si="100"/>
        <v>833877.77777777682</v>
      </c>
      <c r="H293" s="77">
        <f t="shared" si="108"/>
        <v>43845</v>
      </c>
      <c r="I293" s="77" t="str">
        <f t="shared" si="101"/>
        <v>No</v>
      </c>
      <c r="J293" s="75">
        <f t="shared" si="102"/>
        <v>1</v>
      </c>
      <c r="K293" s="78">
        <f t="shared" si="109"/>
        <v>0</v>
      </c>
      <c r="L293" s="12">
        <v>43753</v>
      </c>
      <c r="M293" s="57">
        <f t="shared" si="103"/>
        <v>25100000</v>
      </c>
      <c r="Q293" s="10">
        <f t="shared" si="91"/>
        <v>0.13</v>
      </c>
      <c r="R293" s="10">
        <f t="shared" si="90"/>
        <v>0</v>
      </c>
      <c r="S293" s="60">
        <f t="shared" si="104"/>
        <v>0.13</v>
      </c>
      <c r="T293" s="57">
        <f t="shared" si="105"/>
        <v>9063.8888888888887</v>
      </c>
      <c r="U293" s="57">
        <f t="shared" si="95"/>
        <v>2586680.5588889057</v>
      </c>
      <c r="V293" s="67">
        <f t="shared" si="96"/>
        <v>271916.66666666651</v>
      </c>
      <c r="Y293" s="97">
        <f t="shared" si="89"/>
        <v>0.13</v>
      </c>
      <c r="Z293" s="57">
        <f t="shared" si="97"/>
        <v>9063.8888888888887</v>
      </c>
      <c r="AA293" s="57">
        <f t="shared" si="106"/>
        <v>2494372.2222222374</v>
      </c>
      <c r="AD293" s="11"/>
    </row>
    <row r="294" spans="1:30" hidden="1" outlineLevel="1" x14ac:dyDescent="0.35">
      <c r="A294" s="75" t="str">
        <f t="shared" si="92"/>
        <v>No</v>
      </c>
      <c r="B294" s="75">
        <f t="shared" si="107"/>
        <v>10</v>
      </c>
      <c r="C294" s="76">
        <f t="shared" si="93"/>
        <v>0</v>
      </c>
      <c r="D294" s="77">
        <f t="shared" si="94"/>
        <v>43845</v>
      </c>
      <c r="E294" s="77" t="str">
        <f t="shared" si="98"/>
        <v>No</v>
      </c>
      <c r="F294" s="75">
        <f t="shared" si="99"/>
        <v>4</v>
      </c>
      <c r="G294" s="78">
        <f t="shared" si="100"/>
        <v>0</v>
      </c>
      <c r="H294" s="77">
        <f t="shared" si="108"/>
        <v>43845</v>
      </c>
      <c r="I294" s="77" t="str">
        <f t="shared" si="101"/>
        <v>No</v>
      </c>
      <c r="J294" s="75">
        <f t="shared" si="102"/>
        <v>1</v>
      </c>
      <c r="K294" s="78">
        <f t="shared" si="109"/>
        <v>0</v>
      </c>
      <c r="L294" s="12">
        <v>43754</v>
      </c>
      <c r="M294" s="57">
        <f t="shared" si="103"/>
        <v>25100000</v>
      </c>
      <c r="Q294" s="10">
        <f t="shared" si="91"/>
        <v>0.13</v>
      </c>
      <c r="R294" s="10">
        <f t="shared" si="90"/>
        <v>0</v>
      </c>
      <c r="S294" s="60">
        <f t="shared" si="104"/>
        <v>0.13</v>
      </c>
      <c r="T294" s="57">
        <f t="shared" si="105"/>
        <v>9063.8888888888887</v>
      </c>
      <c r="U294" s="57">
        <f t="shared" si="95"/>
        <v>2595744.4477777947</v>
      </c>
      <c r="V294" s="67">
        <f t="shared" si="96"/>
        <v>0</v>
      </c>
      <c r="Y294" s="97">
        <f t="shared" ref="Y294:Y357" si="110">Y293</f>
        <v>0.13</v>
      </c>
      <c r="Z294" s="57">
        <f t="shared" si="97"/>
        <v>9063.8888888888887</v>
      </c>
      <c r="AA294" s="57">
        <f t="shared" si="106"/>
        <v>2503436.1111111264</v>
      </c>
      <c r="AD294" s="11"/>
    </row>
    <row r="295" spans="1:30" hidden="1" outlineLevel="1" x14ac:dyDescent="0.35">
      <c r="A295" s="75" t="str">
        <f t="shared" si="92"/>
        <v>No</v>
      </c>
      <c r="B295" s="75">
        <f t="shared" si="107"/>
        <v>10</v>
      </c>
      <c r="C295" s="76">
        <f t="shared" si="93"/>
        <v>0</v>
      </c>
      <c r="D295" s="77">
        <f t="shared" si="94"/>
        <v>43845</v>
      </c>
      <c r="E295" s="77" t="str">
        <f t="shared" si="98"/>
        <v>No</v>
      </c>
      <c r="F295" s="75">
        <f t="shared" si="99"/>
        <v>4</v>
      </c>
      <c r="G295" s="78">
        <f t="shared" si="100"/>
        <v>0</v>
      </c>
      <c r="H295" s="77">
        <f t="shared" si="108"/>
        <v>43845</v>
      </c>
      <c r="I295" s="77" t="str">
        <f t="shared" si="101"/>
        <v>No</v>
      </c>
      <c r="J295" s="75">
        <f t="shared" si="102"/>
        <v>1</v>
      </c>
      <c r="K295" s="78">
        <f t="shared" si="109"/>
        <v>0</v>
      </c>
      <c r="L295" s="12">
        <v>43755</v>
      </c>
      <c r="M295" s="57">
        <f t="shared" si="103"/>
        <v>25100000</v>
      </c>
      <c r="Q295" s="10">
        <f t="shared" si="91"/>
        <v>0.13</v>
      </c>
      <c r="R295" s="10">
        <f t="shared" si="90"/>
        <v>0</v>
      </c>
      <c r="S295" s="60">
        <f t="shared" si="104"/>
        <v>0.13</v>
      </c>
      <c r="T295" s="57">
        <f t="shared" si="105"/>
        <v>9063.8888888888887</v>
      </c>
      <c r="U295" s="57">
        <f t="shared" si="95"/>
        <v>2604808.3366666837</v>
      </c>
      <c r="V295" s="67">
        <f t="shared" si="96"/>
        <v>0</v>
      </c>
      <c r="Y295" s="97">
        <f t="shared" si="110"/>
        <v>0.13</v>
      </c>
      <c r="Z295" s="57">
        <f t="shared" si="97"/>
        <v>9063.8888888888887</v>
      </c>
      <c r="AA295" s="57">
        <f t="shared" si="106"/>
        <v>2512500.0000000154</v>
      </c>
      <c r="AD295" s="11"/>
    </row>
    <row r="296" spans="1:30" hidden="1" outlineLevel="1" x14ac:dyDescent="0.35">
      <c r="A296" s="75" t="str">
        <f t="shared" si="92"/>
        <v>No</v>
      </c>
      <c r="B296" s="75">
        <f t="shared" si="107"/>
        <v>10</v>
      </c>
      <c r="C296" s="76">
        <f t="shared" si="93"/>
        <v>0</v>
      </c>
      <c r="D296" s="77">
        <f t="shared" si="94"/>
        <v>43845</v>
      </c>
      <c r="E296" s="77" t="str">
        <f t="shared" si="98"/>
        <v>No</v>
      </c>
      <c r="F296" s="75">
        <f t="shared" si="99"/>
        <v>4</v>
      </c>
      <c r="G296" s="78">
        <f t="shared" si="100"/>
        <v>0</v>
      </c>
      <c r="H296" s="77">
        <f t="shared" si="108"/>
        <v>43845</v>
      </c>
      <c r="I296" s="77" t="str">
        <f t="shared" si="101"/>
        <v>No</v>
      </c>
      <c r="J296" s="75">
        <f t="shared" si="102"/>
        <v>1</v>
      </c>
      <c r="K296" s="78">
        <f t="shared" si="109"/>
        <v>0</v>
      </c>
      <c r="L296" s="12">
        <v>43756</v>
      </c>
      <c r="M296" s="57">
        <f t="shared" si="103"/>
        <v>25100000</v>
      </c>
      <c r="Q296" s="10">
        <f t="shared" si="91"/>
        <v>0.13</v>
      </c>
      <c r="R296" s="10">
        <f t="shared" si="90"/>
        <v>0</v>
      </c>
      <c r="S296" s="60">
        <f t="shared" si="104"/>
        <v>0.13</v>
      </c>
      <c r="T296" s="57">
        <f t="shared" si="105"/>
        <v>9063.8888888888887</v>
      </c>
      <c r="U296" s="57">
        <f t="shared" si="95"/>
        <v>2613872.2255555727</v>
      </c>
      <c r="V296" s="67">
        <f t="shared" si="96"/>
        <v>0</v>
      </c>
      <c r="Y296" s="97">
        <f t="shared" si="110"/>
        <v>0.13</v>
      </c>
      <c r="Z296" s="57">
        <f t="shared" si="97"/>
        <v>9063.8888888888887</v>
      </c>
      <c r="AA296" s="57">
        <f t="shared" si="106"/>
        <v>2521563.8888889044</v>
      </c>
      <c r="AD296" s="11"/>
    </row>
    <row r="297" spans="1:30" hidden="1" outlineLevel="1" x14ac:dyDescent="0.35">
      <c r="A297" s="75" t="str">
        <f t="shared" si="92"/>
        <v>No</v>
      </c>
      <c r="B297" s="75">
        <f t="shared" si="107"/>
        <v>10</v>
      </c>
      <c r="C297" s="76">
        <f t="shared" si="93"/>
        <v>0</v>
      </c>
      <c r="D297" s="77">
        <f t="shared" si="94"/>
        <v>43845</v>
      </c>
      <c r="E297" s="77" t="str">
        <f t="shared" si="98"/>
        <v>No</v>
      </c>
      <c r="F297" s="75">
        <f t="shared" si="99"/>
        <v>4</v>
      </c>
      <c r="G297" s="78">
        <f t="shared" si="100"/>
        <v>0</v>
      </c>
      <c r="H297" s="77">
        <f t="shared" si="108"/>
        <v>43845</v>
      </c>
      <c r="I297" s="77" t="str">
        <f t="shared" si="101"/>
        <v>No</v>
      </c>
      <c r="J297" s="75">
        <f t="shared" si="102"/>
        <v>1</v>
      </c>
      <c r="K297" s="78">
        <f t="shared" si="109"/>
        <v>0</v>
      </c>
      <c r="L297" s="12">
        <v>43757</v>
      </c>
      <c r="M297" s="57">
        <f t="shared" si="103"/>
        <v>25100000</v>
      </c>
      <c r="Q297" s="10">
        <f t="shared" si="91"/>
        <v>0.13</v>
      </c>
      <c r="R297" s="10">
        <f t="shared" si="90"/>
        <v>0</v>
      </c>
      <c r="S297" s="60">
        <f t="shared" si="104"/>
        <v>0.13</v>
      </c>
      <c r="T297" s="57">
        <f t="shared" si="105"/>
        <v>9063.8888888888887</v>
      </c>
      <c r="U297" s="57">
        <f t="shared" si="95"/>
        <v>2622936.1144444617</v>
      </c>
      <c r="V297" s="67">
        <f t="shared" si="96"/>
        <v>0</v>
      </c>
      <c r="Y297" s="97">
        <f t="shared" si="110"/>
        <v>0.13</v>
      </c>
      <c r="Z297" s="57">
        <f t="shared" si="97"/>
        <v>9063.8888888888887</v>
      </c>
      <c r="AA297" s="57">
        <f t="shared" si="106"/>
        <v>2530627.7777777934</v>
      </c>
      <c r="AD297" s="11"/>
    </row>
    <row r="298" spans="1:30" hidden="1" outlineLevel="1" x14ac:dyDescent="0.35">
      <c r="A298" s="75" t="str">
        <f t="shared" si="92"/>
        <v>No</v>
      </c>
      <c r="B298" s="75">
        <f t="shared" si="107"/>
        <v>10</v>
      </c>
      <c r="C298" s="76">
        <f t="shared" si="93"/>
        <v>0</v>
      </c>
      <c r="D298" s="77">
        <f t="shared" si="94"/>
        <v>43845</v>
      </c>
      <c r="E298" s="77" t="str">
        <f t="shared" si="98"/>
        <v>No</v>
      </c>
      <c r="F298" s="75">
        <f t="shared" si="99"/>
        <v>4</v>
      </c>
      <c r="G298" s="78">
        <f t="shared" si="100"/>
        <v>0</v>
      </c>
      <c r="H298" s="77">
        <f t="shared" si="108"/>
        <v>43845</v>
      </c>
      <c r="I298" s="77" t="str">
        <f t="shared" si="101"/>
        <v>No</v>
      </c>
      <c r="J298" s="75">
        <f t="shared" si="102"/>
        <v>1</v>
      </c>
      <c r="K298" s="78">
        <f t="shared" si="109"/>
        <v>0</v>
      </c>
      <c r="L298" s="12">
        <v>43758</v>
      </c>
      <c r="M298" s="57">
        <f t="shared" si="103"/>
        <v>25100000</v>
      </c>
      <c r="Q298" s="10">
        <f t="shared" si="91"/>
        <v>0.13</v>
      </c>
      <c r="R298" s="10">
        <f t="shared" si="90"/>
        <v>0</v>
      </c>
      <c r="S298" s="60">
        <f t="shared" si="104"/>
        <v>0.13</v>
      </c>
      <c r="T298" s="57">
        <f t="shared" si="105"/>
        <v>9063.8888888888887</v>
      </c>
      <c r="U298" s="57">
        <f t="shared" si="95"/>
        <v>2632000.0033333506</v>
      </c>
      <c r="V298" s="67">
        <f t="shared" si="96"/>
        <v>0</v>
      </c>
      <c r="Y298" s="97">
        <f t="shared" si="110"/>
        <v>0.13</v>
      </c>
      <c r="Z298" s="57">
        <f t="shared" si="97"/>
        <v>9063.8888888888887</v>
      </c>
      <c r="AA298" s="57">
        <f t="shared" si="106"/>
        <v>2539691.6666666823</v>
      </c>
      <c r="AD298" s="11"/>
    </row>
    <row r="299" spans="1:30" hidden="1" outlineLevel="1" x14ac:dyDescent="0.35">
      <c r="A299" s="75" t="str">
        <f t="shared" si="92"/>
        <v>No</v>
      </c>
      <c r="B299" s="75">
        <f t="shared" si="107"/>
        <v>10</v>
      </c>
      <c r="C299" s="76">
        <f t="shared" si="93"/>
        <v>0</v>
      </c>
      <c r="D299" s="77">
        <f t="shared" si="94"/>
        <v>43845</v>
      </c>
      <c r="E299" s="77" t="str">
        <f t="shared" si="98"/>
        <v>No</v>
      </c>
      <c r="F299" s="75">
        <f t="shared" si="99"/>
        <v>4</v>
      </c>
      <c r="G299" s="78">
        <f t="shared" si="100"/>
        <v>0</v>
      </c>
      <c r="H299" s="77">
        <f t="shared" si="108"/>
        <v>43845</v>
      </c>
      <c r="I299" s="77" t="str">
        <f t="shared" si="101"/>
        <v>No</v>
      </c>
      <c r="J299" s="75">
        <f t="shared" si="102"/>
        <v>1</v>
      </c>
      <c r="K299" s="78">
        <f t="shared" si="109"/>
        <v>0</v>
      </c>
      <c r="L299" s="12">
        <v>43759</v>
      </c>
      <c r="M299" s="57">
        <f t="shared" si="103"/>
        <v>25100000</v>
      </c>
      <c r="Q299" s="10">
        <f t="shared" si="91"/>
        <v>0.13</v>
      </c>
      <c r="R299" s="10">
        <f t="shared" si="90"/>
        <v>0</v>
      </c>
      <c r="S299" s="60">
        <f t="shared" si="104"/>
        <v>0.13</v>
      </c>
      <c r="T299" s="57">
        <f t="shared" si="105"/>
        <v>9063.8888888888887</v>
      </c>
      <c r="U299" s="57">
        <f t="shared" si="95"/>
        <v>2641063.8922222396</v>
      </c>
      <c r="V299" s="67">
        <f t="shared" si="96"/>
        <v>0</v>
      </c>
      <c r="Y299" s="97">
        <f t="shared" si="110"/>
        <v>0.13</v>
      </c>
      <c r="Z299" s="57">
        <f t="shared" si="97"/>
        <v>9063.8888888888887</v>
      </c>
      <c r="AA299" s="57">
        <f t="shared" si="106"/>
        <v>2548755.5555555713</v>
      </c>
      <c r="AD299" s="11"/>
    </row>
    <row r="300" spans="1:30" hidden="1" outlineLevel="1" x14ac:dyDescent="0.35">
      <c r="A300" s="75" t="str">
        <f t="shared" si="92"/>
        <v>No</v>
      </c>
      <c r="B300" s="75">
        <f t="shared" si="107"/>
        <v>10</v>
      </c>
      <c r="C300" s="76">
        <f t="shared" si="93"/>
        <v>0</v>
      </c>
      <c r="D300" s="77">
        <f t="shared" si="94"/>
        <v>43845</v>
      </c>
      <c r="E300" s="77" t="str">
        <f t="shared" si="98"/>
        <v>No</v>
      </c>
      <c r="F300" s="75">
        <f t="shared" si="99"/>
        <v>4</v>
      </c>
      <c r="G300" s="78">
        <f t="shared" si="100"/>
        <v>0</v>
      </c>
      <c r="H300" s="77">
        <f t="shared" si="108"/>
        <v>43845</v>
      </c>
      <c r="I300" s="77" t="str">
        <f t="shared" si="101"/>
        <v>No</v>
      </c>
      <c r="J300" s="75">
        <f t="shared" si="102"/>
        <v>1</v>
      </c>
      <c r="K300" s="78">
        <f t="shared" si="109"/>
        <v>0</v>
      </c>
      <c r="L300" s="12">
        <v>43760</v>
      </c>
      <c r="M300" s="57">
        <f t="shared" si="103"/>
        <v>25100000</v>
      </c>
      <c r="Q300" s="10">
        <f t="shared" si="91"/>
        <v>0.13</v>
      </c>
      <c r="R300" s="10">
        <f t="shared" si="90"/>
        <v>0</v>
      </c>
      <c r="S300" s="60">
        <f t="shared" si="104"/>
        <v>0.13</v>
      </c>
      <c r="T300" s="57">
        <f t="shared" si="105"/>
        <v>9063.8888888888887</v>
      </c>
      <c r="U300" s="57">
        <f t="shared" si="95"/>
        <v>2650127.7811111286</v>
      </c>
      <c r="V300" s="67">
        <f t="shared" si="96"/>
        <v>0</v>
      </c>
      <c r="Y300" s="97">
        <f t="shared" si="110"/>
        <v>0.13</v>
      </c>
      <c r="Z300" s="57">
        <f t="shared" si="97"/>
        <v>9063.8888888888887</v>
      </c>
      <c r="AA300" s="57">
        <f t="shared" si="106"/>
        <v>2557819.4444444603</v>
      </c>
      <c r="AD300" s="11"/>
    </row>
    <row r="301" spans="1:30" hidden="1" outlineLevel="1" x14ac:dyDescent="0.35">
      <c r="A301" s="75" t="str">
        <f t="shared" si="92"/>
        <v>No</v>
      </c>
      <c r="B301" s="75">
        <f t="shared" si="107"/>
        <v>10</v>
      </c>
      <c r="C301" s="76">
        <f t="shared" si="93"/>
        <v>0</v>
      </c>
      <c r="D301" s="77">
        <f t="shared" si="94"/>
        <v>43845</v>
      </c>
      <c r="E301" s="77" t="str">
        <f t="shared" si="98"/>
        <v>No</v>
      </c>
      <c r="F301" s="75">
        <f t="shared" si="99"/>
        <v>4</v>
      </c>
      <c r="G301" s="78">
        <f t="shared" si="100"/>
        <v>0</v>
      </c>
      <c r="H301" s="77">
        <f t="shared" si="108"/>
        <v>43845</v>
      </c>
      <c r="I301" s="77" t="str">
        <f t="shared" si="101"/>
        <v>No</v>
      </c>
      <c r="J301" s="75">
        <f t="shared" si="102"/>
        <v>1</v>
      </c>
      <c r="K301" s="78">
        <f t="shared" si="109"/>
        <v>0</v>
      </c>
      <c r="L301" s="12">
        <v>43761</v>
      </c>
      <c r="M301" s="57">
        <f t="shared" si="103"/>
        <v>25100000</v>
      </c>
      <c r="Q301" s="10">
        <f t="shared" si="91"/>
        <v>0.13</v>
      </c>
      <c r="R301" s="10">
        <f t="shared" si="90"/>
        <v>0</v>
      </c>
      <c r="S301" s="60">
        <f t="shared" si="104"/>
        <v>0.13</v>
      </c>
      <c r="T301" s="57">
        <f t="shared" si="105"/>
        <v>9063.8888888888887</v>
      </c>
      <c r="U301" s="57">
        <f t="shared" si="95"/>
        <v>2659191.6700000176</v>
      </c>
      <c r="V301" s="67">
        <f t="shared" si="96"/>
        <v>0</v>
      </c>
      <c r="Y301" s="97">
        <f t="shared" si="110"/>
        <v>0.13</v>
      </c>
      <c r="Z301" s="57">
        <f t="shared" si="97"/>
        <v>9063.8888888888887</v>
      </c>
      <c r="AA301" s="57">
        <f t="shared" si="106"/>
        <v>2566883.3333333493</v>
      </c>
      <c r="AD301" s="11"/>
    </row>
    <row r="302" spans="1:30" hidden="1" outlineLevel="1" x14ac:dyDescent="0.35">
      <c r="A302" s="75" t="str">
        <f t="shared" si="92"/>
        <v>No</v>
      </c>
      <c r="B302" s="75">
        <f t="shared" si="107"/>
        <v>10</v>
      </c>
      <c r="C302" s="76">
        <f t="shared" si="93"/>
        <v>0</v>
      </c>
      <c r="D302" s="77">
        <f t="shared" si="94"/>
        <v>43845</v>
      </c>
      <c r="E302" s="77" t="str">
        <f t="shared" si="98"/>
        <v>No</v>
      </c>
      <c r="F302" s="75">
        <f t="shared" si="99"/>
        <v>4</v>
      </c>
      <c r="G302" s="78">
        <f t="shared" si="100"/>
        <v>0</v>
      </c>
      <c r="H302" s="77">
        <f t="shared" si="108"/>
        <v>43845</v>
      </c>
      <c r="I302" s="77" t="str">
        <f t="shared" si="101"/>
        <v>No</v>
      </c>
      <c r="J302" s="75">
        <f t="shared" si="102"/>
        <v>1</v>
      </c>
      <c r="K302" s="78">
        <f t="shared" si="109"/>
        <v>0</v>
      </c>
      <c r="L302" s="12">
        <v>43762</v>
      </c>
      <c r="M302" s="57">
        <f t="shared" si="103"/>
        <v>25100000</v>
      </c>
      <c r="Q302" s="10">
        <f t="shared" si="91"/>
        <v>0.13</v>
      </c>
      <c r="R302" s="10">
        <f t="shared" si="90"/>
        <v>0</v>
      </c>
      <c r="S302" s="60">
        <f t="shared" si="104"/>
        <v>0.13</v>
      </c>
      <c r="T302" s="57">
        <f t="shared" si="105"/>
        <v>9063.8888888888887</v>
      </c>
      <c r="U302" s="57">
        <f t="shared" si="95"/>
        <v>2668255.5588889066</v>
      </c>
      <c r="V302" s="67">
        <f t="shared" si="96"/>
        <v>0</v>
      </c>
      <c r="Y302" s="97">
        <f t="shared" si="110"/>
        <v>0.13</v>
      </c>
      <c r="Z302" s="57">
        <f t="shared" si="97"/>
        <v>9063.8888888888887</v>
      </c>
      <c r="AA302" s="57">
        <f t="shared" si="106"/>
        <v>2575947.2222222383</v>
      </c>
      <c r="AD302" s="11"/>
    </row>
    <row r="303" spans="1:30" hidden="1" outlineLevel="1" x14ac:dyDescent="0.35">
      <c r="A303" s="75" t="str">
        <f t="shared" si="92"/>
        <v>No</v>
      </c>
      <c r="B303" s="75">
        <f t="shared" si="107"/>
        <v>10</v>
      </c>
      <c r="C303" s="76">
        <f t="shared" si="93"/>
        <v>0</v>
      </c>
      <c r="D303" s="77">
        <f t="shared" si="94"/>
        <v>43845</v>
      </c>
      <c r="E303" s="77" t="str">
        <f t="shared" si="98"/>
        <v>No</v>
      </c>
      <c r="F303" s="75">
        <f t="shared" si="99"/>
        <v>4</v>
      </c>
      <c r="G303" s="78">
        <f t="shared" si="100"/>
        <v>0</v>
      </c>
      <c r="H303" s="77">
        <f t="shared" si="108"/>
        <v>43845</v>
      </c>
      <c r="I303" s="77" t="str">
        <f t="shared" si="101"/>
        <v>No</v>
      </c>
      <c r="J303" s="75">
        <f t="shared" si="102"/>
        <v>1</v>
      </c>
      <c r="K303" s="78">
        <f t="shared" si="109"/>
        <v>0</v>
      </c>
      <c r="L303" s="12">
        <v>43763</v>
      </c>
      <c r="M303" s="57">
        <f t="shared" si="103"/>
        <v>25100000</v>
      </c>
      <c r="Q303" s="10">
        <f t="shared" si="91"/>
        <v>0.13</v>
      </c>
      <c r="R303" s="10">
        <f t="shared" si="90"/>
        <v>0</v>
      </c>
      <c r="S303" s="60">
        <f t="shared" si="104"/>
        <v>0.13</v>
      </c>
      <c r="T303" s="57">
        <f t="shared" si="105"/>
        <v>9063.8888888888887</v>
      </c>
      <c r="U303" s="57">
        <f t="shared" si="95"/>
        <v>2677319.4477777956</v>
      </c>
      <c r="V303" s="67">
        <f t="shared" si="96"/>
        <v>0</v>
      </c>
      <c r="Y303" s="97">
        <f t="shared" si="110"/>
        <v>0.13</v>
      </c>
      <c r="Z303" s="57">
        <f t="shared" si="97"/>
        <v>9063.8888888888887</v>
      </c>
      <c r="AA303" s="57">
        <f t="shared" si="106"/>
        <v>2585011.1111111273</v>
      </c>
      <c r="AD303" s="11"/>
    </row>
    <row r="304" spans="1:30" hidden="1" outlineLevel="1" x14ac:dyDescent="0.35">
      <c r="A304" s="75" t="str">
        <f t="shared" si="92"/>
        <v>No</v>
      </c>
      <c r="B304" s="75">
        <f t="shared" si="107"/>
        <v>10</v>
      </c>
      <c r="C304" s="76">
        <f t="shared" si="93"/>
        <v>0</v>
      </c>
      <c r="D304" s="77">
        <f t="shared" si="94"/>
        <v>43845</v>
      </c>
      <c r="E304" s="77" t="str">
        <f t="shared" si="98"/>
        <v>No</v>
      </c>
      <c r="F304" s="75">
        <f t="shared" si="99"/>
        <v>4</v>
      </c>
      <c r="G304" s="78">
        <f t="shared" si="100"/>
        <v>0</v>
      </c>
      <c r="H304" s="77">
        <f t="shared" si="108"/>
        <v>43845</v>
      </c>
      <c r="I304" s="77" t="str">
        <f t="shared" si="101"/>
        <v>No</v>
      </c>
      <c r="J304" s="75">
        <f t="shared" si="102"/>
        <v>1</v>
      </c>
      <c r="K304" s="78">
        <f t="shared" si="109"/>
        <v>0</v>
      </c>
      <c r="L304" s="12">
        <v>43764</v>
      </c>
      <c r="M304" s="57">
        <f t="shared" si="103"/>
        <v>25100000</v>
      </c>
      <c r="Q304" s="10">
        <f t="shared" si="91"/>
        <v>0.13</v>
      </c>
      <c r="R304" s="10">
        <f t="shared" si="90"/>
        <v>0</v>
      </c>
      <c r="S304" s="60">
        <f t="shared" si="104"/>
        <v>0.13</v>
      </c>
      <c r="T304" s="57">
        <f t="shared" si="105"/>
        <v>9063.8888888888887</v>
      </c>
      <c r="U304" s="57">
        <f t="shared" si="95"/>
        <v>2686383.3366666846</v>
      </c>
      <c r="V304" s="67">
        <f t="shared" si="96"/>
        <v>0</v>
      </c>
      <c r="Y304" s="97">
        <f t="shared" si="110"/>
        <v>0.13</v>
      </c>
      <c r="Z304" s="57">
        <f t="shared" si="97"/>
        <v>9063.8888888888887</v>
      </c>
      <c r="AA304" s="57">
        <f t="shared" si="106"/>
        <v>2594075.0000000163</v>
      </c>
      <c r="AD304" s="11"/>
    </row>
    <row r="305" spans="1:30" hidden="1" outlineLevel="1" x14ac:dyDescent="0.35">
      <c r="A305" s="75" t="str">
        <f t="shared" si="92"/>
        <v>No</v>
      </c>
      <c r="B305" s="75">
        <f t="shared" si="107"/>
        <v>10</v>
      </c>
      <c r="C305" s="76">
        <f t="shared" si="93"/>
        <v>0</v>
      </c>
      <c r="D305" s="77">
        <f t="shared" si="94"/>
        <v>43845</v>
      </c>
      <c r="E305" s="77" t="str">
        <f t="shared" si="98"/>
        <v>No</v>
      </c>
      <c r="F305" s="75">
        <f t="shared" si="99"/>
        <v>4</v>
      </c>
      <c r="G305" s="78">
        <f t="shared" si="100"/>
        <v>0</v>
      </c>
      <c r="H305" s="77">
        <f t="shared" si="108"/>
        <v>43845</v>
      </c>
      <c r="I305" s="77" t="str">
        <f t="shared" si="101"/>
        <v>No</v>
      </c>
      <c r="J305" s="75">
        <f t="shared" si="102"/>
        <v>1</v>
      </c>
      <c r="K305" s="78">
        <f t="shared" si="109"/>
        <v>0</v>
      </c>
      <c r="L305" s="12">
        <v>43765</v>
      </c>
      <c r="M305" s="57">
        <f t="shared" si="103"/>
        <v>25100000</v>
      </c>
      <c r="Q305" s="10">
        <f t="shared" si="91"/>
        <v>0.13</v>
      </c>
      <c r="R305" s="10">
        <f t="shared" si="90"/>
        <v>0</v>
      </c>
      <c r="S305" s="60">
        <f t="shared" si="104"/>
        <v>0.13</v>
      </c>
      <c r="T305" s="57">
        <f t="shared" si="105"/>
        <v>9063.8888888888887</v>
      </c>
      <c r="U305" s="57">
        <f t="shared" si="95"/>
        <v>2695447.2255555736</v>
      </c>
      <c r="V305" s="67">
        <f t="shared" si="96"/>
        <v>0</v>
      </c>
      <c r="Y305" s="97">
        <f t="shared" si="110"/>
        <v>0.13</v>
      </c>
      <c r="Z305" s="57">
        <f t="shared" si="97"/>
        <v>9063.8888888888887</v>
      </c>
      <c r="AA305" s="57">
        <f t="shared" si="106"/>
        <v>2603138.8888889053</v>
      </c>
      <c r="AD305" s="11"/>
    </row>
    <row r="306" spans="1:30" hidden="1" outlineLevel="1" x14ac:dyDescent="0.35">
      <c r="A306" s="75" t="str">
        <f t="shared" si="92"/>
        <v>No</v>
      </c>
      <c r="B306" s="75">
        <f t="shared" si="107"/>
        <v>10</v>
      </c>
      <c r="C306" s="76">
        <f t="shared" si="93"/>
        <v>0</v>
      </c>
      <c r="D306" s="77">
        <f t="shared" si="94"/>
        <v>43845</v>
      </c>
      <c r="E306" s="77" t="str">
        <f t="shared" si="98"/>
        <v>No</v>
      </c>
      <c r="F306" s="75">
        <f t="shared" si="99"/>
        <v>4</v>
      </c>
      <c r="G306" s="78">
        <f t="shared" si="100"/>
        <v>0</v>
      </c>
      <c r="H306" s="77">
        <f t="shared" si="108"/>
        <v>43845</v>
      </c>
      <c r="I306" s="77" t="str">
        <f t="shared" si="101"/>
        <v>No</v>
      </c>
      <c r="J306" s="75">
        <f t="shared" si="102"/>
        <v>1</v>
      </c>
      <c r="K306" s="78">
        <f t="shared" si="109"/>
        <v>0</v>
      </c>
      <c r="L306" s="12">
        <v>43766</v>
      </c>
      <c r="M306" s="57">
        <f t="shared" si="103"/>
        <v>25100000</v>
      </c>
      <c r="Q306" s="10">
        <f t="shared" si="91"/>
        <v>0.13</v>
      </c>
      <c r="R306" s="10">
        <f t="shared" si="90"/>
        <v>0</v>
      </c>
      <c r="S306" s="60">
        <f t="shared" si="104"/>
        <v>0.13</v>
      </c>
      <c r="T306" s="57">
        <f t="shared" si="105"/>
        <v>9063.8888888888887</v>
      </c>
      <c r="U306" s="57">
        <f t="shared" si="95"/>
        <v>2704511.1144444626</v>
      </c>
      <c r="V306" s="67">
        <f t="shared" si="96"/>
        <v>0</v>
      </c>
      <c r="Y306" s="97">
        <f t="shared" si="110"/>
        <v>0.13</v>
      </c>
      <c r="Z306" s="57">
        <f t="shared" si="97"/>
        <v>9063.8888888888887</v>
      </c>
      <c r="AA306" s="57">
        <f t="shared" si="106"/>
        <v>2612202.7777777943</v>
      </c>
      <c r="AD306" s="11"/>
    </row>
    <row r="307" spans="1:30" hidden="1" outlineLevel="1" x14ac:dyDescent="0.35">
      <c r="A307" s="75" t="str">
        <f t="shared" si="92"/>
        <v>No</v>
      </c>
      <c r="B307" s="75">
        <f t="shared" si="107"/>
        <v>10</v>
      </c>
      <c r="C307" s="76">
        <f t="shared" si="93"/>
        <v>0</v>
      </c>
      <c r="D307" s="77">
        <f t="shared" si="94"/>
        <v>43845</v>
      </c>
      <c r="E307" s="77" t="str">
        <f t="shared" si="98"/>
        <v>No</v>
      </c>
      <c r="F307" s="75">
        <f t="shared" si="99"/>
        <v>4</v>
      </c>
      <c r="G307" s="78">
        <f t="shared" si="100"/>
        <v>0</v>
      </c>
      <c r="H307" s="77">
        <f t="shared" si="108"/>
        <v>43845</v>
      </c>
      <c r="I307" s="77" t="str">
        <f t="shared" si="101"/>
        <v>No</v>
      </c>
      <c r="J307" s="75">
        <f t="shared" si="102"/>
        <v>1</v>
      </c>
      <c r="K307" s="78">
        <f t="shared" si="109"/>
        <v>0</v>
      </c>
      <c r="L307" s="12">
        <v>43767</v>
      </c>
      <c r="M307" s="57">
        <f t="shared" si="103"/>
        <v>25100000</v>
      </c>
      <c r="Q307" s="10">
        <f t="shared" si="91"/>
        <v>0.13</v>
      </c>
      <c r="R307" s="10">
        <f t="shared" si="90"/>
        <v>0</v>
      </c>
      <c r="S307" s="60">
        <f t="shared" si="104"/>
        <v>0.13</v>
      </c>
      <c r="T307" s="57">
        <f t="shared" si="105"/>
        <v>9063.8888888888887</v>
      </c>
      <c r="U307" s="57">
        <f t="shared" si="95"/>
        <v>2713575.0033333516</v>
      </c>
      <c r="V307" s="67">
        <f t="shared" si="96"/>
        <v>0</v>
      </c>
      <c r="Y307" s="97">
        <f t="shared" si="110"/>
        <v>0.13</v>
      </c>
      <c r="Z307" s="57">
        <f t="shared" si="97"/>
        <v>9063.8888888888887</v>
      </c>
      <c r="AA307" s="57">
        <f t="shared" si="106"/>
        <v>2621266.6666666833</v>
      </c>
      <c r="AD307" s="11"/>
    </row>
    <row r="308" spans="1:30" hidden="1" outlineLevel="1" x14ac:dyDescent="0.35">
      <c r="A308" s="75" t="str">
        <f t="shared" si="92"/>
        <v>No</v>
      </c>
      <c r="B308" s="75">
        <f t="shared" si="107"/>
        <v>10</v>
      </c>
      <c r="C308" s="76">
        <f t="shared" si="93"/>
        <v>0</v>
      </c>
      <c r="D308" s="77">
        <f t="shared" si="94"/>
        <v>43845</v>
      </c>
      <c r="E308" s="77" t="str">
        <f t="shared" si="98"/>
        <v>No</v>
      </c>
      <c r="F308" s="75">
        <f t="shared" si="99"/>
        <v>4</v>
      </c>
      <c r="G308" s="78">
        <f t="shared" si="100"/>
        <v>0</v>
      </c>
      <c r="H308" s="77">
        <f t="shared" si="108"/>
        <v>43845</v>
      </c>
      <c r="I308" s="77" t="str">
        <f t="shared" si="101"/>
        <v>No</v>
      </c>
      <c r="J308" s="75">
        <f t="shared" si="102"/>
        <v>1</v>
      </c>
      <c r="K308" s="78">
        <f t="shared" si="109"/>
        <v>0</v>
      </c>
      <c r="L308" s="12">
        <v>43768</v>
      </c>
      <c r="M308" s="57">
        <f t="shared" si="103"/>
        <v>25100000</v>
      </c>
      <c r="Q308" s="10">
        <f t="shared" si="91"/>
        <v>0.13</v>
      </c>
      <c r="R308" s="10">
        <f t="shared" si="90"/>
        <v>0</v>
      </c>
      <c r="S308" s="60">
        <f t="shared" si="104"/>
        <v>0.13</v>
      </c>
      <c r="T308" s="57">
        <f t="shared" si="105"/>
        <v>9063.8888888888887</v>
      </c>
      <c r="U308" s="57">
        <f t="shared" si="95"/>
        <v>2722638.8922222406</v>
      </c>
      <c r="V308" s="67">
        <f t="shared" si="96"/>
        <v>0</v>
      </c>
      <c r="Y308" s="97">
        <f t="shared" si="110"/>
        <v>0.13</v>
      </c>
      <c r="Z308" s="57">
        <f t="shared" si="97"/>
        <v>9063.8888888888887</v>
      </c>
      <c r="AA308" s="57">
        <f t="shared" si="106"/>
        <v>2630330.5555555723</v>
      </c>
      <c r="AD308" s="11"/>
    </row>
    <row r="309" spans="1:30" hidden="1" outlineLevel="1" x14ac:dyDescent="0.35">
      <c r="A309" s="75" t="str">
        <f t="shared" si="92"/>
        <v>No</v>
      </c>
      <c r="B309" s="75">
        <f t="shared" si="107"/>
        <v>10</v>
      </c>
      <c r="C309" s="76">
        <f t="shared" si="93"/>
        <v>0</v>
      </c>
      <c r="D309" s="77">
        <f t="shared" si="94"/>
        <v>43845</v>
      </c>
      <c r="E309" s="77" t="str">
        <f t="shared" si="98"/>
        <v>No</v>
      </c>
      <c r="F309" s="75">
        <f t="shared" si="99"/>
        <v>4</v>
      </c>
      <c r="G309" s="78">
        <f t="shared" si="100"/>
        <v>0</v>
      </c>
      <c r="H309" s="77">
        <f t="shared" si="108"/>
        <v>43845</v>
      </c>
      <c r="I309" s="77" t="str">
        <f t="shared" si="101"/>
        <v>No</v>
      </c>
      <c r="J309" s="75">
        <f t="shared" si="102"/>
        <v>1</v>
      </c>
      <c r="K309" s="78">
        <f t="shared" si="109"/>
        <v>0</v>
      </c>
      <c r="L309" s="12">
        <v>43769</v>
      </c>
      <c r="M309" s="57">
        <f t="shared" si="103"/>
        <v>25100000</v>
      </c>
      <c r="Q309" s="10">
        <f t="shared" si="91"/>
        <v>0.13</v>
      </c>
      <c r="R309" s="10">
        <f t="shared" si="90"/>
        <v>0</v>
      </c>
      <c r="S309" s="60">
        <f t="shared" si="104"/>
        <v>0.13</v>
      </c>
      <c r="T309" s="57">
        <f t="shared" si="105"/>
        <v>9063.8888888888887</v>
      </c>
      <c r="U309" s="57">
        <f t="shared" si="95"/>
        <v>2731702.7811111296</v>
      </c>
      <c r="V309" s="67">
        <f t="shared" si="96"/>
        <v>0</v>
      </c>
      <c r="Y309" s="97">
        <f t="shared" si="110"/>
        <v>0.13</v>
      </c>
      <c r="Z309" s="57">
        <f t="shared" si="97"/>
        <v>9063.8888888888887</v>
      </c>
      <c r="AA309" s="57">
        <f t="shared" si="106"/>
        <v>2639394.4444444613</v>
      </c>
      <c r="AD309" s="11"/>
    </row>
    <row r="310" spans="1:30" hidden="1" outlineLevel="1" x14ac:dyDescent="0.35">
      <c r="A310" s="75" t="str">
        <f t="shared" si="92"/>
        <v>No</v>
      </c>
      <c r="B310" s="75">
        <f t="shared" si="107"/>
        <v>10</v>
      </c>
      <c r="C310" s="76">
        <f t="shared" si="93"/>
        <v>0</v>
      </c>
      <c r="D310" s="77">
        <f t="shared" si="94"/>
        <v>43845</v>
      </c>
      <c r="E310" s="77" t="str">
        <f t="shared" si="98"/>
        <v>No</v>
      </c>
      <c r="F310" s="75">
        <f t="shared" si="99"/>
        <v>4</v>
      </c>
      <c r="G310" s="78">
        <f t="shared" si="100"/>
        <v>0</v>
      </c>
      <c r="H310" s="77">
        <f t="shared" si="108"/>
        <v>43845</v>
      </c>
      <c r="I310" s="77" t="str">
        <f t="shared" si="101"/>
        <v>No</v>
      </c>
      <c r="J310" s="75">
        <f t="shared" si="102"/>
        <v>1</v>
      </c>
      <c r="K310" s="78">
        <f t="shared" si="109"/>
        <v>0</v>
      </c>
      <c r="L310" s="12">
        <v>43770</v>
      </c>
      <c r="M310" s="57">
        <f t="shared" si="103"/>
        <v>25100000</v>
      </c>
      <c r="Q310" s="10">
        <f t="shared" si="91"/>
        <v>0.13</v>
      </c>
      <c r="R310" s="10">
        <f t="shared" si="90"/>
        <v>0</v>
      </c>
      <c r="S310" s="60">
        <f t="shared" si="104"/>
        <v>0.13</v>
      </c>
      <c r="T310" s="57">
        <f t="shared" si="105"/>
        <v>9063.8888888888887</v>
      </c>
      <c r="U310" s="57">
        <f t="shared" si="95"/>
        <v>2740766.6700000186</v>
      </c>
      <c r="V310" s="67">
        <f t="shared" si="96"/>
        <v>0</v>
      </c>
      <c r="Y310" s="97">
        <f t="shared" si="110"/>
        <v>0.13</v>
      </c>
      <c r="Z310" s="57">
        <f t="shared" si="97"/>
        <v>9063.8888888888887</v>
      </c>
      <c r="AA310" s="57">
        <f t="shared" si="106"/>
        <v>2648458.3333333503</v>
      </c>
      <c r="AD310" s="11"/>
    </row>
    <row r="311" spans="1:30" hidden="1" outlineLevel="1" x14ac:dyDescent="0.35">
      <c r="A311" s="75" t="str">
        <f t="shared" si="92"/>
        <v>No</v>
      </c>
      <c r="B311" s="75">
        <f t="shared" si="107"/>
        <v>10</v>
      </c>
      <c r="C311" s="76">
        <f t="shared" si="93"/>
        <v>0</v>
      </c>
      <c r="D311" s="77">
        <f t="shared" si="94"/>
        <v>43845</v>
      </c>
      <c r="E311" s="77" t="str">
        <f t="shared" si="98"/>
        <v>No</v>
      </c>
      <c r="F311" s="75">
        <f t="shared" si="99"/>
        <v>4</v>
      </c>
      <c r="G311" s="78">
        <f t="shared" si="100"/>
        <v>0</v>
      </c>
      <c r="H311" s="77">
        <f t="shared" si="108"/>
        <v>43845</v>
      </c>
      <c r="I311" s="77" t="str">
        <f t="shared" si="101"/>
        <v>No</v>
      </c>
      <c r="J311" s="75">
        <f t="shared" si="102"/>
        <v>1</v>
      </c>
      <c r="K311" s="78">
        <f t="shared" si="109"/>
        <v>0</v>
      </c>
      <c r="L311" s="12">
        <v>43771</v>
      </c>
      <c r="M311" s="57">
        <f t="shared" si="103"/>
        <v>25100000</v>
      </c>
      <c r="Q311" s="10">
        <f t="shared" si="91"/>
        <v>0.13</v>
      </c>
      <c r="R311" s="10">
        <f t="shared" si="90"/>
        <v>0</v>
      </c>
      <c r="S311" s="60">
        <f t="shared" si="104"/>
        <v>0.13</v>
      </c>
      <c r="T311" s="57">
        <f t="shared" si="105"/>
        <v>9063.8888888888887</v>
      </c>
      <c r="U311" s="57">
        <f t="shared" si="95"/>
        <v>2749830.5588889075</v>
      </c>
      <c r="V311" s="67">
        <f t="shared" si="96"/>
        <v>0</v>
      </c>
      <c r="Y311" s="97">
        <f t="shared" si="110"/>
        <v>0.13</v>
      </c>
      <c r="Z311" s="57">
        <f t="shared" si="97"/>
        <v>9063.8888888888887</v>
      </c>
      <c r="AA311" s="57">
        <f t="shared" si="106"/>
        <v>2657522.2222222392</v>
      </c>
      <c r="AD311" s="11"/>
    </row>
    <row r="312" spans="1:30" hidden="1" outlineLevel="1" x14ac:dyDescent="0.35">
      <c r="A312" s="75" t="str">
        <f t="shared" si="92"/>
        <v>No</v>
      </c>
      <c r="B312" s="75">
        <f t="shared" si="107"/>
        <v>10</v>
      </c>
      <c r="C312" s="76">
        <f t="shared" si="93"/>
        <v>0</v>
      </c>
      <c r="D312" s="77">
        <f t="shared" si="94"/>
        <v>43845</v>
      </c>
      <c r="E312" s="77" t="str">
        <f t="shared" si="98"/>
        <v>No</v>
      </c>
      <c r="F312" s="75">
        <f t="shared" si="99"/>
        <v>4</v>
      </c>
      <c r="G312" s="78">
        <f t="shared" si="100"/>
        <v>0</v>
      </c>
      <c r="H312" s="77">
        <f t="shared" si="108"/>
        <v>43845</v>
      </c>
      <c r="I312" s="77" t="str">
        <f t="shared" si="101"/>
        <v>No</v>
      </c>
      <c r="J312" s="75">
        <f t="shared" si="102"/>
        <v>1</v>
      </c>
      <c r="K312" s="78">
        <f t="shared" si="109"/>
        <v>0</v>
      </c>
      <c r="L312" s="12">
        <v>43772</v>
      </c>
      <c r="M312" s="57">
        <f t="shared" si="103"/>
        <v>25100000</v>
      </c>
      <c r="Q312" s="10">
        <f t="shared" si="91"/>
        <v>0.13</v>
      </c>
      <c r="R312" s="10">
        <f t="shared" ref="R312:R375" si="111">R311</f>
        <v>0</v>
      </c>
      <c r="S312" s="60">
        <f t="shared" si="104"/>
        <v>0.13</v>
      </c>
      <c r="T312" s="57">
        <f t="shared" si="105"/>
        <v>9063.8888888888887</v>
      </c>
      <c r="U312" s="57">
        <f t="shared" si="95"/>
        <v>2758894.4477777965</v>
      </c>
      <c r="V312" s="67">
        <f t="shared" si="96"/>
        <v>0</v>
      </c>
      <c r="Y312" s="97">
        <f t="shared" si="110"/>
        <v>0.13</v>
      </c>
      <c r="Z312" s="57">
        <f t="shared" si="97"/>
        <v>9063.8888888888887</v>
      </c>
      <c r="AA312" s="57">
        <f t="shared" si="106"/>
        <v>2666586.1111111282</v>
      </c>
      <c r="AD312" s="11"/>
    </row>
    <row r="313" spans="1:30" hidden="1" outlineLevel="1" x14ac:dyDescent="0.35">
      <c r="A313" s="75" t="str">
        <f t="shared" si="92"/>
        <v>No</v>
      </c>
      <c r="B313" s="75">
        <f t="shared" si="107"/>
        <v>10</v>
      </c>
      <c r="C313" s="76">
        <f t="shared" si="93"/>
        <v>0</v>
      </c>
      <c r="D313" s="77">
        <f t="shared" si="94"/>
        <v>43845</v>
      </c>
      <c r="E313" s="77" t="str">
        <f t="shared" si="98"/>
        <v>No</v>
      </c>
      <c r="F313" s="75">
        <f t="shared" si="99"/>
        <v>4</v>
      </c>
      <c r="G313" s="78">
        <f t="shared" si="100"/>
        <v>0</v>
      </c>
      <c r="H313" s="77">
        <f t="shared" si="108"/>
        <v>43845</v>
      </c>
      <c r="I313" s="77" t="str">
        <f t="shared" si="101"/>
        <v>No</v>
      </c>
      <c r="J313" s="75">
        <f t="shared" si="102"/>
        <v>1</v>
      </c>
      <c r="K313" s="78">
        <f t="shared" si="109"/>
        <v>0</v>
      </c>
      <c r="L313" s="12">
        <v>43773</v>
      </c>
      <c r="M313" s="57">
        <f t="shared" si="103"/>
        <v>25100000</v>
      </c>
      <c r="Q313" s="10">
        <f t="shared" si="91"/>
        <v>0.13</v>
      </c>
      <c r="R313" s="10">
        <f t="shared" si="111"/>
        <v>0</v>
      </c>
      <c r="S313" s="60">
        <f t="shared" si="104"/>
        <v>0.13</v>
      </c>
      <c r="T313" s="57">
        <f t="shared" si="105"/>
        <v>9063.8888888888887</v>
      </c>
      <c r="U313" s="57">
        <f t="shared" si="95"/>
        <v>2767958.3366666855</v>
      </c>
      <c r="V313" s="67">
        <f t="shared" si="96"/>
        <v>0</v>
      </c>
      <c r="Y313" s="97">
        <f t="shared" si="110"/>
        <v>0.13</v>
      </c>
      <c r="Z313" s="57">
        <f t="shared" si="97"/>
        <v>9063.8888888888887</v>
      </c>
      <c r="AA313" s="57">
        <f t="shared" si="106"/>
        <v>2675650.0000000172</v>
      </c>
      <c r="AD313" s="11"/>
    </row>
    <row r="314" spans="1:30" hidden="1" outlineLevel="1" x14ac:dyDescent="0.35">
      <c r="A314" s="75" t="str">
        <f t="shared" si="92"/>
        <v>No</v>
      </c>
      <c r="B314" s="75">
        <f t="shared" si="107"/>
        <v>10</v>
      </c>
      <c r="C314" s="76">
        <f t="shared" si="93"/>
        <v>0</v>
      </c>
      <c r="D314" s="77">
        <f t="shared" si="94"/>
        <v>43845</v>
      </c>
      <c r="E314" s="77" t="str">
        <f t="shared" si="98"/>
        <v>No</v>
      </c>
      <c r="F314" s="75">
        <f t="shared" si="99"/>
        <v>4</v>
      </c>
      <c r="G314" s="78">
        <f t="shared" si="100"/>
        <v>0</v>
      </c>
      <c r="H314" s="77">
        <f t="shared" si="108"/>
        <v>43845</v>
      </c>
      <c r="I314" s="77" t="str">
        <f t="shared" si="101"/>
        <v>No</v>
      </c>
      <c r="J314" s="75">
        <f t="shared" si="102"/>
        <v>1</v>
      </c>
      <c r="K314" s="78">
        <f t="shared" si="109"/>
        <v>0</v>
      </c>
      <c r="L314" s="12">
        <v>43774</v>
      </c>
      <c r="M314" s="57">
        <f t="shared" si="103"/>
        <v>25100000</v>
      </c>
      <c r="Q314" s="10">
        <f t="shared" si="91"/>
        <v>0.13</v>
      </c>
      <c r="R314" s="10">
        <f t="shared" si="111"/>
        <v>0</v>
      </c>
      <c r="S314" s="60">
        <f t="shared" si="104"/>
        <v>0.13</v>
      </c>
      <c r="T314" s="57">
        <f t="shared" si="105"/>
        <v>9063.8888888888887</v>
      </c>
      <c r="U314" s="57">
        <f t="shared" si="95"/>
        <v>2777022.2255555745</v>
      </c>
      <c r="V314" s="67">
        <f t="shared" si="96"/>
        <v>0</v>
      </c>
      <c r="Y314" s="97">
        <f t="shared" si="110"/>
        <v>0.13</v>
      </c>
      <c r="Z314" s="57">
        <f t="shared" si="97"/>
        <v>9063.8888888888887</v>
      </c>
      <c r="AA314" s="57">
        <f t="shared" si="106"/>
        <v>2684713.8888889062</v>
      </c>
      <c r="AD314" s="11"/>
    </row>
    <row r="315" spans="1:30" hidden="1" outlineLevel="1" x14ac:dyDescent="0.35">
      <c r="A315" s="75" t="str">
        <f t="shared" si="92"/>
        <v>No</v>
      </c>
      <c r="B315" s="75">
        <f t="shared" si="107"/>
        <v>10</v>
      </c>
      <c r="C315" s="76">
        <f t="shared" si="93"/>
        <v>0</v>
      </c>
      <c r="D315" s="77">
        <f t="shared" si="94"/>
        <v>43845</v>
      </c>
      <c r="E315" s="77" t="str">
        <f t="shared" si="98"/>
        <v>No</v>
      </c>
      <c r="F315" s="75">
        <f t="shared" si="99"/>
        <v>4</v>
      </c>
      <c r="G315" s="78">
        <f t="shared" si="100"/>
        <v>0</v>
      </c>
      <c r="H315" s="77">
        <f t="shared" si="108"/>
        <v>43845</v>
      </c>
      <c r="I315" s="77" t="str">
        <f t="shared" si="101"/>
        <v>No</v>
      </c>
      <c r="J315" s="75">
        <f t="shared" si="102"/>
        <v>1</v>
      </c>
      <c r="K315" s="78">
        <f t="shared" si="109"/>
        <v>0</v>
      </c>
      <c r="L315" s="12">
        <v>43775</v>
      </c>
      <c r="M315" s="57">
        <f t="shared" si="103"/>
        <v>25100000</v>
      </c>
      <c r="Q315" s="10">
        <f t="shared" si="91"/>
        <v>0.13</v>
      </c>
      <c r="R315" s="10">
        <f t="shared" si="111"/>
        <v>0</v>
      </c>
      <c r="S315" s="60">
        <f t="shared" si="104"/>
        <v>0.13</v>
      </c>
      <c r="T315" s="57">
        <f t="shared" si="105"/>
        <v>9063.8888888888887</v>
      </c>
      <c r="U315" s="57">
        <f t="shared" si="95"/>
        <v>2786086.1144444635</v>
      </c>
      <c r="V315" s="67">
        <f t="shared" si="96"/>
        <v>0</v>
      </c>
      <c r="Y315" s="97">
        <f t="shared" si="110"/>
        <v>0.13</v>
      </c>
      <c r="Z315" s="57">
        <f t="shared" si="97"/>
        <v>9063.8888888888887</v>
      </c>
      <c r="AA315" s="57">
        <f t="shared" si="106"/>
        <v>2693777.7777777952</v>
      </c>
      <c r="AD315" s="11"/>
    </row>
    <row r="316" spans="1:30" hidden="1" outlineLevel="1" x14ac:dyDescent="0.35">
      <c r="A316" s="75" t="str">
        <f t="shared" si="92"/>
        <v>No</v>
      </c>
      <c r="B316" s="75">
        <f t="shared" si="107"/>
        <v>10</v>
      </c>
      <c r="C316" s="76">
        <f t="shared" si="93"/>
        <v>0</v>
      </c>
      <c r="D316" s="77">
        <f t="shared" si="94"/>
        <v>43845</v>
      </c>
      <c r="E316" s="77" t="str">
        <f t="shared" si="98"/>
        <v>No</v>
      </c>
      <c r="F316" s="75">
        <f t="shared" si="99"/>
        <v>4</v>
      </c>
      <c r="G316" s="78">
        <f t="shared" si="100"/>
        <v>0</v>
      </c>
      <c r="H316" s="77">
        <f t="shared" si="108"/>
        <v>43845</v>
      </c>
      <c r="I316" s="77" t="str">
        <f t="shared" si="101"/>
        <v>No</v>
      </c>
      <c r="J316" s="75">
        <f t="shared" si="102"/>
        <v>1</v>
      </c>
      <c r="K316" s="78">
        <f t="shared" si="109"/>
        <v>0</v>
      </c>
      <c r="L316" s="12">
        <v>43776</v>
      </c>
      <c r="M316" s="57">
        <f t="shared" si="103"/>
        <v>25100000</v>
      </c>
      <c r="Q316" s="10">
        <f t="shared" si="91"/>
        <v>0.13</v>
      </c>
      <c r="R316" s="10">
        <f t="shared" si="111"/>
        <v>0</v>
      </c>
      <c r="S316" s="60">
        <f t="shared" si="104"/>
        <v>0.13</v>
      </c>
      <c r="T316" s="57">
        <f t="shared" si="105"/>
        <v>9063.8888888888887</v>
      </c>
      <c r="U316" s="57">
        <f t="shared" si="95"/>
        <v>2795150.0033333525</v>
      </c>
      <c r="V316" s="67">
        <f t="shared" si="96"/>
        <v>0</v>
      </c>
      <c r="Y316" s="97">
        <f t="shared" si="110"/>
        <v>0.13</v>
      </c>
      <c r="Z316" s="57">
        <f t="shared" si="97"/>
        <v>9063.8888888888887</v>
      </c>
      <c r="AA316" s="57">
        <f t="shared" si="106"/>
        <v>2702841.6666666842</v>
      </c>
      <c r="AD316" s="11"/>
    </row>
    <row r="317" spans="1:30" hidden="1" outlineLevel="1" x14ac:dyDescent="0.35">
      <c r="A317" s="75" t="str">
        <f t="shared" si="92"/>
        <v>No</v>
      </c>
      <c r="B317" s="75">
        <f t="shared" si="107"/>
        <v>10</v>
      </c>
      <c r="C317" s="76">
        <f t="shared" si="93"/>
        <v>0</v>
      </c>
      <c r="D317" s="77">
        <f t="shared" si="94"/>
        <v>43845</v>
      </c>
      <c r="E317" s="77" t="str">
        <f t="shared" si="98"/>
        <v>No</v>
      </c>
      <c r="F317" s="75">
        <f t="shared" si="99"/>
        <v>4</v>
      </c>
      <c r="G317" s="78">
        <f t="shared" si="100"/>
        <v>0</v>
      </c>
      <c r="H317" s="77">
        <f t="shared" si="108"/>
        <v>43845</v>
      </c>
      <c r="I317" s="77" t="str">
        <f t="shared" si="101"/>
        <v>No</v>
      </c>
      <c r="J317" s="75">
        <f t="shared" si="102"/>
        <v>1</v>
      </c>
      <c r="K317" s="78">
        <f t="shared" si="109"/>
        <v>0</v>
      </c>
      <c r="L317" s="12">
        <v>43777</v>
      </c>
      <c r="M317" s="57">
        <f t="shared" si="103"/>
        <v>25100000</v>
      </c>
      <c r="Q317" s="10">
        <f t="shared" si="91"/>
        <v>0.13</v>
      </c>
      <c r="R317" s="10">
        <f t="shared" si="111"/>
        <v>0</v>
      </c>
      <c r="S317" s="60">
        <f t="shared" si="104"/>
        <v>0.13</v>
      </c>
      <c r="T317" s="57">
        <f t="shared" si="105"/>
        <v>9063.8888888888887</v>
      </c>
      <c r="U317" s="57">
        <f t="shared" si="95"/>
        <v>2804213.8922222415</v>
      </c>
      <c r="V317" s="67">
        <f t="shared" si="96"/>
        <v>0</v>
      </c>
      <c r="Y317" s="97">
        <f t="shared" si="110"/>
        <v>0.13</v>
      </c>
      <c r="Z317" s="57">
        <f t="shared" si="97"/>
        <v>9063.8888888888887</v>
      </c>
      <c r="AA317" s="57">
        <f t="shared" si="106"/>
        <v>2711905.5555555732</v>
      </c>
      <c r="AD317" s="11"/>
    </row>
    <row r="318" spans="1:30" hidden="1" outlineLevel="1" x14ac:dyDescent="0.35">
      <c r="A318" s="75" t="str">
        <f t="shared" si="92"/>
        <v>No</v>
      </c>
      <c r="B318" s="75">
        <f t="shared" si="107"/>
        <v>10</v>
      </c>
      <c r="C318" s="76">
        <f t="shared" si="93"/>
        <v>0</v>
      </c>
      <c r="D318" s="77">
        <f t="shared" si="94"/>
        <v>43845</v>
      </c>
      <c r="E318" s="77" t="str">
        <f t="shared" si="98"/>
        <v>No</v>
      </c>
      <c r="F318" s="75">
        <f t="shared" si="99"/>
        <v>4</v>
      </c>
      <c r="G318" s="78">
        <f t="shared" si="100"/>
        <v>0</v>
      </c>
      <c r="H318" s="77">
        <f t="shared" si="108"/>
        <v>43845</v>
      </c>
      <c r="I318" s="77" t="str">
        <f t="shared" si="101"/>
        <v>No</v>
      </c>
      <c r="J318" s="75">
        <f t="shared" si="102"/>
        <v>1</v>
      </c>
      <c r="K318" s="78">
        <f t="shared" si="109"/>
        <v>0</v>
      </c>
      <c r="L318" s="12">
        <v>43778</v>
      </c>
      <c r="M318" s="57">
        <f t="shared" si="103"/>
        <v>25100000</v>
      </c>
      <c r="Q318" s="10">
        <f t="shared" si="91"/>
        <v>0.13</v>
      </c>
      <c r="R318" s="10">
        <f t="shared" si="111"/>
        <v>0</v>
      </c>
      <c r="S318" s="60">
        <f t="shared" si="104"/>
        <v>0.13</v>
      </c>
      <c r="T318" s="57">
        <f t="shared" si="105"/>
        <v>9063.8888888888887</v>
      </c>
      <c r="U318" s="57">
        <f t="shared" si="95"/>
        <v>2813277.7811111305</v>
      </c>
      <c r="V318" s="67">
        <f t="shared" si="96"/>
        <v>0</v>
      </c>
      <c r="Y318" s="97">
        <f t="shared" si="110"/>
        <v>0.13</v>
      </c>
      <c r="Z318" s="57">
        <f t="shared" si="97"/>
        <v>9063.8888888888887</v>
      </c>
      <c r="AA318" s="57">
        <f t="shared" si="106"/>
        <v>2720969.4444444622</v>
      </c>
      <c r="AD318" s="11"/>
    </row>
    <row r="319" spans="1:30" hidden="1" outlineLevel="1" x14ac:dyDescent="0.35">
      <c r="A319" s="75" t="str">
        <f t="shared" si="92"/>
        <v>No</v>
      </c>
      <c r="B319" s="75">
        <f t="shared" si="107"/>
        <v>10</v>
      </c>
      <c r="C319" s="76">
        <f t="shared" si="93"/>
        <v>0</v>
      </c>
      <c r="D319" s="77">
        <f t="shared" si="94"/>
        <v>43845</v>
      </c>
      <c r="E319" s="77" t="str">
        <f t="shared" si="98"/>
        <v>No</v>
      </c>
      <c r="F319" s="75">
        <f t="shared" si="99"/>
        <v>4</v>
      </c>
      <c r="G319" s="78">
        <f t="shared" si="100"/>
        <v>0</v>
      </c>
      <c r="H319" s="77">
        <f t="shared" si="108"/>
        <v>43845</v>
      </c>
      <c r="I319" s="77" t="str">
        <f t="shared" si="101"/>
        <v>No</v>
      </c>
      <c r="J319" s="75">
        <f t="shared" si="102"/>
        <v>1</v>
      </c>
      <c r="K319" s="78">
        <f t="shared" si="109"/>
        <v>0</v>
      </c>
      <c r="L319" s="12">
        <v>43779</v>
      </c>
      <c r="M319" s="57">
        <f t="shared" si="103"/>
        <v>25100000</v>
      </c>
      <c r="Q319" s="10">
        <f t="shared" si="91"/>
        <v>0.13</v>
      </c>
      <c r="R319" s="10">
        <f t="shared" si="111"/>
        <v>0</v>
      </c>
      <c r="S319" s="60">
        <f t="shared" si="104"/>
        <v>0.13</v>
      </c>
      <c r="T319" s="57">
        <f t="shared" si="105"/>
        <v>9063.8888888888887</v>
      </c>
      <c r="U319" s="57">
        <f t="shared" si="95"/>
        <v>2822341.6700000195</v>
      </c>
      <c r="V319" s="67">
        <f t="shared" si="96"/>
        <v>0</v>
      </c>
      <c r="Y319" s="97">
        <f t="shared" si="110"/>
        <v>0.13</v>
      </c>
      <c r="Z319" s="57">
        <f t="shared" si="97"/>
        <v>9063.8888888888887</v>
      </c>
      <c r="AA319" s="57">
        <f t="shared" si="106"/>
        <v>2730033.3333333512</v>
      </c>
      <c r="AD319" s="11"/>
    </row>
    <row r="320" spans="1:30" hidden="1" outlineLevel="1" x14ac:dyDescent="0.35">
      <c r="A320" s="75" t="str">
        <f t="shared" si="92"/>
        <v>No</v>
      </c>
      <c r="B320" s="75">
        <f t="shared" si="107"/>
        <v>10</v>
      </c>
      <c r="C320" s="76">
        <f t="shared" si="93"/>
        <v>0</v>
      </c>
      <c r="D320" s="77">
        <f t="shared" si="94"/>
        <v>43845</v>
      </c>
      <c r="E320" s="77" t="str">
        <f t="shared" si="98"/>
        <v>No</v>
      </c>
      <c r="F320" s="75">
        <f t="shared" si="99"/>
        <v>4</v>
      </c>
      <c r="G320" s="78">
        <f t="shared" si="100"/>
        <v>0</v>
      </c>
      <c r="H320" s="77">
        <f t="shared" si="108"/>
        <v>43845</v>
      </c>
      <c r="I320" s="77" t="str">
        <f t="shared" si="101"/>
        <v>No</v>
      </c>
      <c r="J320" s="75">
        <f t="shared" si="102"/>
        <v>1</v>
      </c>
      <c r="K320" s="78">
        <f t="shared" si="109"/>
        <v>0</v>
      </c>
      <c r="L320" s="12">
        <v>43780</v>
      </c>
      <c r="M320" s="57">
        <f t="shared" si="103"/>
        <v>25100000</v>
      </c>
      <c r="Q320" s="10">
        <f t="shared" si="91"/>
        <v>0.13</v>
      </c>
      <c r="R320" s="10">
        <f t="shared" si="111"/>
        <v>0</v>
      </c>
      <c r="S320" s="60">
        <f t="shared" si="104"/>
        <v>0.13</v>
      </c>
      <c r="T320" s="57">
        <f t="shared" si="105"/>
        <v>9063.8888888888887</v>
      </c>
      <c r="U320" s="57">
        <f t="shared" si="95"/>
        <v>2831405.5588889085</v>
      </c>
      <c r="V320" s="67">
        <f t="shared" si="96"/>
        <v>0</v>
      </c>
      <c r="Y320" s="97">
        <f t="shared" si="110"/>
        <v>0.13</v>
      </c>
      <c r="Z320" s="57">
        <f t="shared" si="97"/>
        <v>9063.8888888888887</v>
      </c>
      <c r="AA320" s="57">
        <f t="shared" si="106"/>
        <v>2739097.2222222402</v>
      </c>
      <c r="AD320" s="11"/>
    </row>
    <row r="321" spans="1:30" hidden="1" outlineLevel="1" x14ac:dyDescent="0.35">
      <c r="A321" s="75" t="str">
        <f t="shared" si="92"/>
        <v>No</v>
      </c>
      <c r="B321" s="75">
        <f t="shared" si="107"/>
        <v>10</v>
      </c>
      <c r="C321" s="76">
        <f t="shared" si="93"/>
        <v>0</v>
      </c>
      <c r="D321" s="77">
        <f t="shared" si="94"/>
        <v>43845</v>
      </c>
      <c r="E321" s="77" t="str">
        <f t="shared" si="98"/>
        <v>No</v>
      </c>
      <c r="F321" s="75">
        <f t="shared" si="99"/>
        <v>4</v>
      </c>
      <c r="G321" s="78">
        <f t="shared" si="100"/>
        <v>0</v>
      </c>
      <c r="H321" s="77">
        <f t="shared" si="108"/>
        <v>43845</v>
      </c>
      <c r="I321" s="77" t="str">
        <f t="shared" si="101"/>
        <v>No</v>
      </c>
      <c r="J321" s="75">
        <f t="shared" si="102"/>
        <v>1</v>
      </c>
      <c r="K321" s="78">
        <f t="shared" si="109"/>
        <v>0</v>
      </c>
      <c r="L321" s="12">
        <v>43781</v>
      </c>
      <c r="M321" s="57">
        <f t="shared" si="103"/>
        <v>25100000</v>
      </c>
      <c r="Q321" s="10">
        <f t="shared" si="91"/>
        <v>0.13</v>
      </c>
      <c r="R321" s="10">
        <f t="shared" si="111"/>
        <v>0</v>
      </c>
      <c r="S321" s="60">
        <f t="shared" si="104"/>
        <v>0.13</v>
      </c>
      <c r="T321" s="57">
        <f t="shared" si="105"/>
        <v>9063.8888888888887</v>
      </c>
      <c r="U321" s="57">
        <f t="shared" si="95"/>
        <v>2840469.4477777975</v>
      </c>
      <c r="V321" s="67">
        <f t="shared" si="96"/>
        <v>0</v>
      </c>
      <c r="Y321" s="97">
        <f t="shared" si="110"/>
        <v>0.13</v>
      </c>
      <c r="Z321" s="57">
        <f t="shared" si="97"/>
        <v>9063.8888888888887</v>
      </c>
      <c r="AA321" s="57">
        <f t="shared" si="106"/>
        <v>2748161.1111111292</v>
      </c>
      <c r="AD321" s="11"/>
    </row>
    <row r="322" spans="1:30" hidden="1" outlineLevel="1" x14ac:dyDescent="0.35">
      <c r="A322" s="75" t="str">
        <f t="shared" si="92"/>
        <v>No</v>
      </c>
      <c r="B322" s="75">
        <f t="shared" si="107"/>
        <v>10</v>
      </c>
      <c r="C322" s="76">
        <f t="shared" si="93"/>
        <v>0</v>
      </c>
      <c r="D322" s="77">
        <f t="shared" si="94"/>
        <v>43845</v>
      </c>
      <c r="E322" s="77" t="str">
        <f t="shared" si="98"/>
        <v>No</v>
      </c>
      <c r="F322" s="75">
        <f t="shared" si="99"/>
        <v>4</v>
      </c>
      <c r="G322" s="78">
        <f t="shared" si="100"/>
        <v>0</v>
      </c>
      <c r="H322" s="77">
        <f t="shared" si="108"/>
        <v>43845</v>
      </c>
      <c r="I322" s="77" t="str">
        <f t="shared" si="101"/>
        <v>No</v>
      </c>
      <c r="J322" s="75">
        <f t="shared" si="102"/>
        <v>1</v>
      </c>
      <c r="K322" s="78">
        <f t="shared" si="109"/>
        <v>0</v>
      </c>
      <c r="L322" s="12">
        <v>43782</v>
      </c>
      <c r="M322" s="57">
        <f t="shared" si="103"/>
        <v>25100000</v>
      </c>
      <c r="Q322" s="10">
        <f t="shared" ref="Q322:Q385" si="112">Q321</f>
        <v>0.13</v>
      </c>
      <c r="R322" s="10">
        <f t="shared" si="111"/>
        <v>0</v>
      </c>
      <c r="S322" s="60">
        <f t="shared" si="104"/>
        <v>0.13</v>
      </c>
      <c r="T322" s="57">
        <f t="shared" si="105"/>
        <v>9063.8888888888887</v>
      </c>
      <c r="U322" s="57">
        <f t="shared" si="95"/>
        <v>2849533.3366666865</v>
      </c>
      <c r="V322" s="67">
        <f t="shared" si="96"/>
        <v>0</v>
      </c>
      <c r="Y322" s="97">
        <f t="shared" si="110"/>
        <v>0.13</v>
      </c>
      <c r="Z322" s="57">
        <f t="shared" si="97"/>
        <v>9063.8888888888887</v>
      </c>
      <c r="AA322" s="57">
        <f t="shared" si="106"/>
        <v>2757225.0000000182</v>
      </c>
      <c r="AD322" s="11"/>
    </row>
    <row r="323" spans="1:30" hidden="1" outlineLevel="1" x14ac:dyDescent="0.35">
      <c r="A323" s="75" t="str">
        <f t="shared" si="92"/>
        <v>No</v>
      </c>
      <c r="B323" s="75">
        <f t="shared" si="107"/>
        <v>10</v>
      </c>
      <c r="C323" s="76">
        <f t="shared" si="93"/>
        <v>0</v>
      </c>
      <c r="D323" s="77">
        <f t="shared" si="94"/>
        <v>43845</v>
      </c>
      <c r="E323" s="77" t="str">
        <f t="shared" si="98"/>
        <v>No</v>
      </c>
      <c r="F323" s="75">
        <f t="shared" si="99"/>
        <v>4</v>
      </c>
      <c r="G323" s="78">
        <f t="shared" si="100"/>
        <v>0</v>
      </c>
      <c r="H323" s="77">
        <f t="shared" si="108"/>
        <v>43845</v>
      </c>
      <c r="I323" s="77" t="str">
        <f t="shared" si="101"/>
        <v>No</v>
      </c>
      <c r="J323" s="75">
        <f t="shared" si="102"/>
        <v>1</v>
      </c>
      <c r="K323" s="78">
        <f t="shared" si="109"/>
        <v>0</v>
      </c>
      <c r="L323" s="12">
        <v>43783</v>
      </c>
      <c r="M323" s="57">
        <f t="shared" si="103"/>
        <v>25100000</v>
      </c>
      <c r="Q323" s="10">
        <f t="shared" si="112"/>
        <v>0.13</v>
      </c>
      <c r="R323" s="10">
        <f t="shared" si="111"/>
        <v>0</v>
      </c>
      <c r="S323" s="60">
        <f t="shared" si="104"/>
        <v>0.13</v>
      </c>
      <c r="T323" s="57">
        <f t="shared" si="105"/>
        <v>9063.8888888888887</v>
      </c>
      <c r="U323" s="57">
        <f t="shared" si="95"/>
        <v>2858597.2255555755</v>
      </c>
      <c r="V323" s="67">
        <f t="shared" si="96"/>
        <v>0</v>
      </c>
      <c r="Y323" s="97">
        <f t="shared" si="110"/>
        <v>0.13</v>
      </c>
      <c r="Z323" s="57">
        <f t="shared" si="97"/>
        <v>9063.8888888888887</v>
      </c>
      <c r="AA323" s="57">
        <f t="shared" si="106"/>
        <v>2766288.8888889072</v>
      </c>
      <c r="AD323" s="11"/>
    </row>
    <row r="324" spans="1:30" hidden="1" outlineLevel="1" x14ac:dyDescent="0.35">
      <c r="A324" s="75" t="str">
        <f t="shared" si="92"/>
        <v>Yes</v>
      </c>
      <c r="B324" s="75">
        <f t="shared" si="107"/>
        <v>11</v>
      </c>
      <c r="C324" s="76">
        <f t="shared" si="93"/>
        <v>280980.55555555539</v>
      </c>
      <c r="D324" s="77">
        <f t="shared" si="94"/>
        <v>43845</v>
      </c>
      <c r="E324" s="77" t="str">
        <f t="shared" si="98"/>
        <v>No</v>
      </c>
      <c r="F324" s="75">
        <f t="shared" si="99"/>
        <v>4</v>
      </c>
      <c r="G324" s="78">
        <f t="shared" si="100"/>
        <v>0</v>
      </c>
      <c r="H324" s="77">
        <f t="shared" si="108"/>
        <v>43845</v>
      </c>
      <c r="I324" s="77" t="str">
        <f t="shared" si="101"/>
        <v>No</v>
      </c>
      <c r="J324" s="75">
        <f t="shared" si="102"/>
        <v>1</v>
      </c>
      <c r="K324" s="78">
        <f t="shared" si="109"/>
        <v>0</v>
      </c>
      <c r="L324" s="12">
        <v>43784</v>
      </c>
      <c r="M324" s="57">
        <f t="shared" si="103"/>
        <v>25100000</v>
      </c>
      <c r="Q324" s="10">
        <f t="shared" si="112"/>
        <v>0.13</v>
      </c>
      <c r="R324" s="10">
        <f t="shared" si="111"/>
        <v>0</v>
      </c>
      <c r="S324" s="60">
        <f t="shared" si="104"/>
        <v>0.13</v>
      </c>
      <c r="T324" s="57">
        <f t="shared" si="105"/>
        <v>9063.8888888888887</v>
      </c>
      <c r="U324" s="57">
        <f t="shared" si="95"/>
        <v>2867661.1144444644</v>
      </c>
      <c r="V324" s="67">
        <f t="shared" si="96"/>
        <v>280980.55555555539</v>
      </c>
      <c r="Y324" s="97">
        <f t="shared" si="110"/>
        <v>0.13</v>
      </c>
      <c r="Z324" s="57">
        <f t="shared" si="97"/>
        <v>9063.8888888888887</v>
      </c>
      <c r="AA324" s="57">
        <f t="shared" si="106"/>
        <v>2775352.7777777961</v>
      </c>
      <c r="AD324" s="11"/>
    </row>
    <row r="325" spans="1:30" hidden="1" outlineLevel="1" x14ac:dyDescent="0.35">
      <c r="A325" s="75" t="str">
        <f t="shared" si="92"/>
        <v>No</v>
      </c>
      <c r="B325" s="75">
        <f t="shared" si="107"/>
        <v>11</v>
      </c>
      <c r="C325" s="76">
        <f t="shared" si="93"/>
        <v>0</v>
      </c>
      <c r="D325" s="77">
        <f t="shared" si="94"/>
        <v>43845</v>
      </c>
      <c r="E325" s="77" t="str">
        <f t="shared" si="98"/>
        <v>No</v>
      </c>
      <c r="F325" s="75">
        <f t="shared" si="99"/>
        <v>4</v>
      </c>
      <c r="G325" s="78">
        <f t="shared" si="100"/>
        <v>0</v>
      </c>
      <c r="H325" s="77">
        <f t="shared" si="108"/>
        <v>43845</v>
      </c>
      <c r="I325" s="77" t="str">
        <f t="shared" si="101"/>
        <v>No</v>
      </c>
      <c r="J325" s="75">
        <f t="shared" si="102"/>
        <v>1</v>
      </c>
      <c r="K325" s="78">
        <f t="shared" si="109"/>
        <v>0</v>
      </c>
      <c r="L325" s="12">
        <v>43785</v>
      </c>
      <c r="M325" s="57">
        <f t="shared" si="103"/>
        <v>25100000</v>
      </c>
      <c r="Q325" s="10">
        <f t="shared" si="112"/>
        <v>0.13</v>
      </c>
      <c r="R325" s="10">
        <f t="shared" si="111"/>
        <v>0</v>
      </c>
      <c r="S325" s="60">
        <f t="shared" si="104"/>
        <v>0.13</v>
      </c>
      <c r="T325" s="57">
        <f t="shared" si="105"/>
        <v>9063.8888888888887</v>
      </c>
      <c r="U325" s="57">
        <f t="shared" si="95"/>
        <v>2876725.0033333534</v>
      </c>
      <c r="V325" s="67">
        <f t="shared" si="96"/>
        <v>0</v>
      </c>
      <c r="Y325" s="97">
        <f t="shared" si="110"/>
        <v>0.13</v>
      </c>
      <c r="Z325" s="57">
        <f t="shared" si="97"/>
        <v>9063.8888888888887</v>
      </c>
      <c r="AA325" s="57">
        <f t="shared" si="106"/>
        <v>2784416.6666666851</v>
      </c>
      <c r="AD325" s="11"/>
    </row>
    <row r="326" spans="1:30" hidden="1" outlineLevel="1" x14ac:dyDescent="0.35">
      <c r="A326" s="75" t="str">
        <f t="shared" si="92"/>
        <v>No</v>
      </c>
      <c r="B326" s="75">
        <f t="shared" si="107"/>
        <v>11</v>
      </c>
      <c r="C326" s="76">
        <f t="shared" si="93"/>
        <v>0</v>
      </c>
      <c r="D326" s="77">
        <f t="shared" si="94"/>
        <v>43845</v>
      </c>
      <c r="E326" s="77" t="str">
        <f t="shared" si="98"/>
        <v>No</v>
      </c>
      <c r="F326" s="75">
        <f t="shared" si="99"/>
        <v>4</v>
      </c>
      <c r="G326" s="78">
        <f t="shared" si="100"/>
        <v>0</v>
      </c>
      <c r="H326" s="77">
        <f t="shared" si="108"/>
        <v>43845</v>
      </c>
      <c r="I326" s="77" t="str">
        <f t="shared" si="101"/>
        <v>No</v>
      </c>
      <c r="J326" s="75">
        <f t="shared" si="102"/>
        <v>1</v>
      </c>
      <c r="K326" s="78">
        <f t="shared" si="109"/>
        <v>0</v>
      </c>
      <c r="L326" s="12">
        <v>43786</v>
      </c>
      <c r="M326" s="57">
        <f t="shared" si="103"/>
        <v>25100000</v>
      </c>
      <c r="Q326" s="10">
        <f t="shared" si="112"/>
        <v>0.13</v>
      </c>
      <c r="R326" s="10">
        <f t="shared" si="111"/>
        <v>0</v>
      </c>
      <c r="S326" s="60">
        <f t="shared" si="104"/>
        <v>0.13</v>
      </c>
      <c r="T326" s="57">
        <f t="shared" si="105"/>
        <v>9063.8888888888887</v>
      </c>
      <c r="U326" s="57">
        <f t="shared" si="95"/>
        <v>2885788.8922222424</v>
      </c>
      <c r="V326" s="67">
        <f t="shared" si="96"/>
        <v>0</v>
      </c>
      <c r="Y326" s="97">
        <f t="shared" si="110"/>
        <v>0.13</v>
      </c>
      <c r="Z326" s="57">
        <f t="shared" si="97"/>
        <v>9063.8888888888887</v>
      </c>
      <c r="AA326" s="57">
        <f t="shared" si="106"/>
        <v>2793480.5555555741</v>
      </c>
      <c r="AD326" s="11"/>
    </row>
    <row r="327" spans="1:30" hidden="1" outlineLevel="1" x14ac:dyDescent="0.35">
      <c r="A327" s="75" t="str">
        <f t="shared" si="92"/>
        <v>No</v>
      </c>
      <c r="B327" s="75">
        <f t="shared" si="107"/>
        <v>11</v>
      </c>
      <c r="C327" s="76">
        <f t="shared" si="93"/>
        <v>0</v>
      </c>
      <c r="D327" s="77">
        <f t="shared" si="94"/>
        <v>43845</v>
      </c>
      <c r="E327" s="77" t="str">
        <f t="shared" si="98"/>
        <v>No</v>
      </c>
      <c r="F327" s="75">
        <f t="shared" si="99"/>
        <v>4</v>
      </c>
      <c r="G327" s="78">
        <f t="shared" si="100"/>
        <v>0</v>
      </c>
      <c r="H327" s="77">
        <f t="shared" si="108"/>
        <v>43845</v>
      </c>
      <c r="I327" s="77" t="str">
        <f t="shared" si="101"/>
        <v>No</v>
      </c>
      <c r="J327" s="75">
        <f t="shared" si="102"/>
        <v>1</v>
      </c>
      <c r="K327" s="78">
        <f t="shared" si="109"/>
        <v>0</v>
      </c>
      <c r="L327" s="12">
        <v>43787</v>
      </c>
      <c r="M327" s="57">
        <f t="shared" si="103"/>
        <v>25100000</v>
      </c>
      <c r="Q327" s="10">
        <f t="shared" si="112"/>
        <v>0.13</v>
      </c>
      <c r="R327" s="10">
        <f t="shared" si="111"/>
        <v>0</v>
      </c>
      <c r="S327" s="60">
        <f t="shared" si="104"/>
        <v>0.13</v>
      </c>
      <c r="T327" s="57">
        <f t="shared" si="105"/>
        <v>9063.8888888888887</v>
      </c>
      <c r="U327" s="57">
        <f t="shared" si="95"/>
        <v>2894852.7811111314</v>
      </c>
      <c r="V327" s="67">
        <f t="shared" si="96"/>
        <v>0</v>
      </c>
      <c r="Y327" s="97">
        <f t="shared" si="110"/>
        <v>0.13</v>
      </c>
      <c r="Z327" s="57">
        <f t="shared" si="97"/>
        <v>9063.8888888888887</v>
      </c>
      <c r="AA327" s="57">
        <f t="shared" si="106"/>
        <v>2802544.4444444631</v>
      </c>
      <c r="AD327" s="11"/>
    </row>
    <row r="328" spans="1:30" hidden="1" outlineLevel="1" x14ac:dyDescent="0.35">
      <c r="A328" s="75" t="str">
        <f t="shared" si="92"/>
        <v>No</v>
      </c>
      <c r="B328" s="75">
        <f t="shared" si="107"/>
        <v>11</v>
      </c>
      <c r="C328" s="76">
        <f t="shared" si="93"/>
        <v>0</v>
      </c>
      <c r="D328" s="77">
        <f t="shared" si="94"/>
        <v>43845</v>
      </c>
      <c r="E328" s="77" t="str">
        <f t="shared" si="98"/>
        <v>No</v>
      </c>
      <c r="F328" s="75">
        <f t="shared" si="99"/>
        <v>4</v>
      </c>
      <c r="G328" s="78">
        <f t="shared" si="100"/>
        <v>0</v>
      </c>
      <c r="H328" s="77">
        <f t="shared" si="108"/>
        <v>43845</v>
      </c>
      <c r="I328" s="77" t="str">
        <f t="shared" si="101"/>
        <v>No</v>
      </c>
      <c r="J328" s="75">
        <f t="shared" si="102"/>
        <v>1</v>
      </c>
      <c r="K328" s="78">
        <f t="shared" si="109"/>
        <v>0</v>
      </c>
      <c r="L328" s="12">
        <v>43788</v>
      </c>
      <c r="M328" s="57">
        <f t="shared" si="103"/>
        <v>25100000</v>
      </c>
      <c r="Q328" s="10">
        <f t="shared" si="112"/>
        <v>0.13</v>
      </c>
      <c r="R328" s="10">
        <f t="shared" si="111"/>
        <v>0</v>
      </c>
      <c r="S328" s="60">
        <f t="shared" si="104"/>
        <v>0.13</v>
      </c>
      <c r="T328" s="57">
        <f t="shared" si="105"/>
        <v>9063.8888888888887</v>
      </c>
      <c r="U328" s="57">
        <f t="shared" si="95"/>
        <v>2903916.6700000204</v>
      </c>
      <c r="V328" s="67">
        <f t="shared" si="96"/>
        <v>0</v>
      </c>
      <c r="Y328" s="97">
        <f t="shared" si="110"/>
        <v>0.13</v>
      </c>
      <c r="Z328" s="57">
        <f t="shared" si="97"/>
        <v>9063.8888888888887</v>
      </c>
      <c r="AA328" s="57">
        <f t="shared" si="106"/>
        <v>2811608.3333333521</v>
      </c>
      <c r="AD328" s="11"/>
    </row>
    <row r="329" spans="1:30" hidden="1" outlineLevel="1" x14ac:dyDescent="0.35">
      <c r="A329" s="75" t="str">
        <f t="shared" si="92"/>
        <v>No</v>
      </c>
      <c r="B329" s="75">
        <f t="shared" si="107"/>
        <v>11</v>
      </c>
      <c r="C329" s="76">
        <f t="shared" si="93"/>
        <v>0</v>
      </c>
      <c r="D329" s="77">
        <f t="shared" si="94"/>
        <v>43845</v>
      </c>
      <c r="E329" s="77" t="str">
        <f t="shared" si="98"/>
        <v>No</v>
      </c>
      <c r="F329" s="75">
        <f t="shared" si="99"/>
        <v>4</v>
      </c>
      <c r="G329" s="78">
        <f t="shared" si="100"/>
        <v>0</v>
      </c>
      <c r="H329" s="77">
        <f t="shared" si="108"/>
        <v>43845</v>
      </c>
      <c r="I329" s="77" t="str">
        <f t="shared" si="101"/>
        <v>No</v>
      </c>
      <c r="J329" s="75">
        <f t="shared" si="102"/>
        <v>1</v>
      </c>
      <c r="K329" s="78">
        <f t="shared" si="109"/>
        <v>0</v>
      </c>
      <c r="L329" s="12">
        <v>43789</v>
      </c>
      <c r="M329" s="57">
        <f t="shared" si="103"/>
        <v>25100000</v>
      </c>
      <c r="Q329" s="10">
        <f t="shared" si="112"/>
        <v>0.13</v>
      </c>
      <c r="R329" s="10">
        <f t="shared" si="111"/>
        <v>0</v>
      </c>
      <c r="S329" s="60">
        <f t="shared" si="104"/>
        <v>0.13</v>
      </c>
      <c r="T329" s="57">
        <f t="shared" si="105"/>
        <v>9063.8888888888887</v>
      </c>
      <c r="U329" s="57">
        <f t="shared" si="95"/>
        <v>2912980.5588889094</v>
      </c>
      <c r="V329" s="67">
        <f t="shared" si="96"/>
        <v>0</v>
      </c>
      <c r="Y329" s="97">
        <f t="shared" si="110"/>
        <v>0.13</v>
      </c>
      <c r="Z329" s="57">
        <f t="shared" si="97"/>
        <v>9063.8888888888887</v>
      </c>
      <c r="AA329" s="57">
        <f t="shared" si="106"/>
        <v>2820672.2222222411</v>
      </c>
      <c r="AD329" s="11"/>
    </row>
    <row r="330" spans="1:30" hidden="1" outlineLevel="1" x14ac:dyDescent="0.35">
      <c r="A330" s="75" t="str">
        <f t="shared" si="92"/>
        <v>No</v>
      </c>
      <c r="B330" s="75">
        <f t="shared" si="107"/>
        <v>11</v>
      </c>
      <c r="C330" s="76">
        <f t="shared" si="93"/>
        <v>0</v>
      </c>
      <c r="D330" s="77">
        <f t="shared" si="94"/>
        <v>43845</v>
      </c>
      <c r="E330" s="77" t="str">
        <f t="shared" si="98"/>
        <v>No</v>
      </c>
      <c r="F330" s="75">
        <f t="shared" si="99"/>
        <v>4</v>
      </c>
      <c r="G330" s="78">
        <f t="shared" si="100"/>
        <v>0</v>
      </c>
      <c r="H330" s="77">
        <f t="shared" si="108"/>
        <v>43845</v>
      </c>
      <c r="I330" s="77" t="str">
        <f t="shared" si="101"/>
        <v>No</v>
      </c>
      <c r="J330" s="75">
        <f t="shared" si="102"/>
        <v>1</v>
      </c>
      <c r="K330" s="78">
        <f t="shared" si="109"/>
        <v>0</v>
      </c>
      <c r="L330" s="12">
        <v>43790</v>
      </c>
      <c r="M330" s="57">
        <f t="shared" si="103"/>
        <v>25100000</v>
      </c>
      <c r="Q330" s="10">
        <f t="shared" si="112"/>
        <v>0.13</v>
      </c>
      <c r="R330" s="10">
        <f t="shared" si="111"/>
        <v>0</v>
      </c>
      <c r="S330" s="60">
        <f t="shared" si="104"/>
        <v>0.13</v>
      </c>
      <c r="T330" s="57">
        <f t="shared" si="105"/>
        <v>9063.8888888888887</v>
      </c>
      <c r="U330" s="57">
        <f t="shared" si="95"/>
        <v>2922044.4477777984</v>
      </c>
      <c r="V330" s="67">
        <f t="shared" si="96"/>
        <v>0</v>
      </c>
      <c r="Y330" s="97">
        <f t="shared" si="110"/>
        <v>0.13</v>
      </c>
      <c r="Z330" s="57">
        <f t="shared" si="97"/>
        <v>9063.8888888888887</v>
      </c>
      <c r="AA330" s="57">
        <f t="shared" si="106"/>
        <v>2829736.1111111301</v>
      </c>
      <c r="AD330" s="11"/>
    </row>
    <row r="331" spans="1:30" hidden="1" outlineLevel="1" x14ac:dyDescent="0.35">
      <c r="A331" s="75" t="str">
        <f t="shared" si="92"/>
        <v>No</v>
      </c>
      <c r="B331" s="75">
        <f t="shared" si="107"/>
        <v>11</v>
      </c>
      <c r="C331" s="76">
        <f t="shared" si="93"/>
        <v>0</v>
      </c>
      <c r="D331" s="77">
        <f t="shared" si="94"/>
        <v>43845</v>
      </c>
      <c r="E331" s="77" t="str">
        <f t="shared" si="98"/>
        <v>No</v>
      </c>
      <c r="F331" s="75">
        <f t="shared" si="99"/>
        <v>4</v>
      </c>
      <c r="G331" s="78">
        <f t="shared" si="100"/>
        <v>0</v>
      </c>
      <c r="H331" s="77">
        <f t="shared" si="108"/>
        <v>43845</v>
      </c>
      <c r="I331" s="77" t="str">
        <f t="shared" si="101"/>
        <v>No</v>
      </c>
      <c r="J331" s="75">
        <f t="shared" si="102"/>
        <v>1</v>
      </c>
      <c r="K331" s="78">
        <f t="shared" si="109"/>
        <v>0</v>
      </c>
      <c r="L331" s="12">
        <v>43791</v>
      </c>
      <c r="M331" s="57">
        <f t="shared" si="103"/>
        <v>25100000</v>
      </c>
      <c r="Q331" s="10">
        <f t="shared" si="112"/>
        <v>0.13</v>
      </c>
      <c r="R331" s="10">
        <f t="shared" si="111"/>
        <v>0</v>
      </c>
      <c r="S331" s="60">
        <f t="shared" si="104"/>
        <v>0.13</v>
      </c>
      <c r="T331" s="57">
        <f t="shared" si="105"/>
        <v>9063.8888888888887</v>
      </c>
      <c r="U331" s="57">
        <f t="shared" si="95"/>
        <v>2931108.3366666874</v>
      </c>
      <c r="V331" s="67">
        <f t="shared" si="96"/>
        <v>0</v>
      </c>
      <c r="Y331" s="97">
        <f t="shared" si="110"/>
        <v>0.13</v>
      </c>
      <c r="Z331" s="57">
        <f t="shared" si="97"/>
        <v>9063.8888888888887</v>
      </c>
      <c r="AA331" s="57">
        <f t="shared" si="106"/>
        <v>2838800.0000000191</v>
      </c>
      <c r="AD331" s="11"/>
    </row>
    <row r="332" spans="1:30" hidden="1" outlineLevel="1" x14ac:dyDescent="0.35">
      <c r="A332" s="75" t="str">
        <f t="shared" si="92"/>
        <v>No</v>
      </c>
      <c r="B332" s="75">
        <f t="shared" si="107"/>
        <v>11</v>
      </c>
      <c r="C332" s="76">
        <f t="shared" si="93"/>
        <v>0</v>
      </c>
      <c r="D332" s="77">
        <f t="shared" si="94"/>
        <v>43845</v>
      </c>
      <c r="E332" s="77" t="str">
        <f t="shared" si="98"/>
        <v>No</v>
      </c>
      <c r="F332" s="75">
        <f t="shared" si="99"/>
        <v>4</v>
      </c>
      <c r="G332" s="78">
        <f t="shared" si="100"/>
        <v>0</v>
      </c>
      <c r="H332" s="77">
        <f t="shared" si="108"/>
        <v>43845</v>
      </c>
      <c r="I332" s="77" t="str">
        <f t="shared" si="101"/>
        <v>No</v>
      </c>
      <c r="J332" s="75">
        <f t="shared" si="102"/>
        <v>1</v>
      </c>
      <c r="K332" s="78">
        <f t="shared" si="109"/>
        <v>0</v>
      </c>
      <c r="L332" s="12">
        <v>43792</v>
      </c>
      <c r="M332" s="57">
        <f t="shared" si="103"/>
        <v>25100000</v>
      </c>
      <c r="Q332" s="10">
        <f t="shared" si="112"/>
        <v>0.13</v>
      </c>
      <c r="R332" s="10">
        <f t="shared" si="111"/>
        <v>0</v>
      </c>
      <c r="S332" s="60">
        <f t="shared" si="104"/>
        <v>0.13</v>
      </c>
      <c r="T332" s="57">
        <f t="shared" si="105"/>
        <v>9063.8888888888887</v>
      </c>
      <c r="U332" s="57">
        <f t="shared" si="95"/>
        <v>2940172.2255555764</v>
      </c>
      <c r="V332" s="67">
        <f t="shared" si="96"/>
        <v>0</v>
      </c>
      <c r="Y332" s="97">
        <f t="shared" si="110"/>
        <v>0.13</v>
      </c>
      <c r="Z332" s="57">
        <f t="shared" si="97"/>
        <v>9063.8888888888887</v>
      </c>
      <c r="AA332" s="57">
        <f t="shared" si="106"/>
        <v>2847863.8888889081</v>
      </c>
      <c r="AD332" s="11"/>
    </row>
    <row r="333" spans="1:30" hidden="1" outlineLevel="1" x14ac:dyDescent="0.35">
      <c r="A333" s="75" t="str">
        <f t="shared" si="92"/>
        <v>No</v>
      </c>
      <c r="B333" s="75">
        <f t="shared" si="107"/>
        <v>11</v>
      </c>
      <c r="C333" s="76">
        <f t="shared" si="93"/>
        <v>0</v>
      </c>
      <c r="D333" s="77">
        <f t="shared" si="94"/>
        <v>43845</v>
      </c>
      <c r="E333" s="77" t="str">
        <f t="shared" si="98"/>
        <v>No</v>
      </c>
      <c r="F333" s="75">
        <f t="shared" si="99"/>
        <v>4</v>
      </c>
      <c r="G333" s="78">
        <f t="shared" si="100"/>
        <v>0</v>
      </c>
      <c r="H333" s="77">
        <f t="shared" si="108"/>
        <v>43845</v>
      </c>
      <c r="I333" s="77" t="str">
        <f t="shared" si="101"/>
        <v>No</v>
      </c>
      <c r="J333" s="75">
        <f t="shared" si="102"/>
        <v>1</v>
      </c>
      <c r="K333" s="78">
        <f t="shared" si="109"/>
        <v>0</v>
      </c>
      <c r="L333" s="12">
        <v>43793</v>
      </c>
      <c r="M333" s="57">
        <f t="shared" si="103"/>
        <v>25100000</v>
      </c>
      <c r="Q333" s="10">
        <f t="shared" si="112"/>
        <v>0.13</v>
      </c>
      <c r="R333" s="10">
        <f t="shared" si="111"/>
        <v>0</v>
      </c>
      <c r="S333" s="60">
        <f t="shared" si="104"/>
        <v>0.13</v>
      </c>
      <c r="T333" s="57">
        <f t="shared" si="105"/>
        <v>9063.8888888888887</v>
      </c>
      <c r="U333" s="57">
        <f t="shared" si="95"/>
        <v>2949236.1144444654</v>
      </c>
      <c r="V333" s="67">
        <f t="shared" si="96"/>
        <v>0</v>
      </c>
      <c r="Y333" s="97">
        <f t="shared" si="110"/>
        <v>0.13</v>
      </c>
      <c r="Z333" s="57">
        <f t="shared" si="97"/>
        <v>9063.8888888888887</v>
      </c>
      <c r="AA333" s="57">
        <f t="shared" si="106"/>
        <v>2856927.7777777971</v>
      </c>
      <c r="AD333" s="11"/>
    </row>
    <row r="334" spans="1:30" hidden="1" outlineLevel="1" x14ac:dyDescent="0.35">
      <c r="A334" s="75" t="str">
        <f t="shared" si="92"/>
        <v>No</v>
      </c>
      <c r="B334" s="75">
        <f t="shared" si="107"/>
        <v>11</v>
      </c>
      <c r="C334" s="76">
        <f t="shared" si="93"/>
        <v>0</v>
      </c>
      <c r="D334" s="77">
        <f t="shared" si="94"/>
        <v>43845</v>
      </c>
      <c r="E334" s="77" t="str">
        <f t="shared" si="98"/>
        <v>No</v>
      </c>
      <c r="F334" s="75">
        <f t="shared" si="99"/>
        <v>4</v>
      </c>
      <c r="G334" s="78">
        <f t="shared" si="100"/>
        <v>0</v>
      </c>
      <c r="H334" s="77">
        <f t="shared" si="108"/>
        <v>43845</v>
      </c>
      <c r="I334" s="77" t="str">
        <f t="shared" si="101"/>
        <v>No</v>
      </c>
      <c r="J334" s="75">
        <f t="shared" si="102"/>
        <v>1</v>
      </c>
      <c r="K334" s="78">
        <f t="shared" si="109"/>
        <v>0</v>
      </c>
      <c r="L334" s="12">
        <v>43794</v>
      </c>
      <c r="M334" s="57">
        <f t="shared" si="103"/>
        <v>25100000</v>
      </c>
      <c r="Q334" s="10">
        <f t="shared" si="112"/>
        <v>0.13</v>
      </c>
      <c r="R334" s="10">
        <f t="shared" si="111"/>
        <v>0</v>
      </c>
      <c r="S334" s="60">
        <f t="shared" si="104"/>
        <v>0.13</v>
      </c>
      <c r="T334" s="57">
        <f t="shared" si="105"/>
        <v>9063.8888888888887</v>
      </c>
      <c r="U334" s="57">
        <f t="shared" si="95"/>
        <v>2958300.0033333544</v>
      </c>
      <c r="V334" s="67">
        <f t="shared" si="96"/>
        <v>0</v>
      </c>
      <c r="Y334" s="97">
        <f t="shared" si="110"/>
        <v>0.13</v>
      </c>
      <c r="Z334" s="57">
        <f t="shared" si="97"/>
        <v>9063.8888888888887</v>
      </c>
      <c r="AA334" s="57">
        <f t="shared" si="106"/>
        <v>2865991.6666666861</v>
      </c>
      <c r="AD334" s="11"/>
    </row>
    <row r="335" spans="1:30" hidden="1" outlineLevel="1" x14ac:dyDescent="0.35">
      <c r="A335" s="75" t="str">
        <f t="shared" si="92"/>
        <v>No</v>
      </c>
      <c r="B335" s="75">
        <f t="shared" si="107"/>
        <v>11</v>
      </c>
      <c r="C335" s="76">
        <f t="shared" si="93"/>
        <v>0</v>
      </c>
      <c r="D335" s="77">
        <f t="shared" si="94"/>
        <v>43845</v>
      </c>
      <c r="E335" s="77" t="str">
        <f t="shared" si="98"/>
        <v>No</v>
      </c>
      <c r="F335" s="75">
        <f t="shared" si="99"/>
        <v>4</v>
      </c>
      <c r="G335" s="78">
        <f t="shared" si="100"/>
        <v>0</v>
      </c>
      <c r="H335" s="77">
        <f t="shared" si="108"/>
        <v>43845</v>
      </c>
      <c r="I335" s="77" t="str">
        <f t="shared" si="101"/>
        <v>No</v>
      </c>
      <c r="J335" s="75">
        <f t="shared" si="102"/>
        <v>1</v>
      </c>
      <c r="K335" s="78">
        <f t="shared" si="109"/>
        <v>0</v>
      </c>
      <c r="L335" s="12">
        <v>43795</v>
      </c>
      <c r="M335" s="57">
        <f t="shared" si="103"/>
        <v>25100000</v>
      </c>
      <c r="Q335" s="10">
        <f t="shared" si="112"/>
        <v>0.13</v>
      </c>
      <c r="R335" s="10">
        <f t="shared" si="111"/>
        <v>0</v>
      </c>
      <c r="S335" s="60">
        <f t="shared" si="104"/>
        <v>0.13</v>
      </c>
      <c r="T335" s="57">
        <f t="shared" si="105"/>
        <v>9063.8888888888887</v>
      </c>
      <c r="U335" s="57">
        <f t="shared" si="95"/>
        <v>2967363.8922222434</v>
      </c>
      <c r="V335" s="67">
        <f t="shared" si="96"/>
        <v>0</v>
      </c>
      <c r="Y335" s="97">
        <f t="shared" si="110"/>
        <v>0.13</v>
      </c>
      <c r="Z335" s="57">
        <f t="shared" si="97"/>
        <v>9063.8888888888887</v>
      </c>
      <c r="AA335" s="57">
        <f t="shared" si="106"/>
        <v>2875055.5555555751</v>
      </c>
      <c r="AD335" s="11"/>
    </row>
    <row r="336" spans="1:30" hidden="1" outlineLevel="1" x14ac:dyDescent="0.35">
      <c r="A336" s="75" t="str">
        <f t="shared" si="92"/>
        <v>No</v>
      </c>
      <c r="B336" s="75">
        <f t="shared" si="107"/>
        <v>11</v>
      </c>
      <c r="C336" s="76">
        <f t="shared" si="93"/>
        <v>0</v>
      </c>
      <c r="D336" s="77">
        <f t="shared" si="94"/>
        <v>43845</v>
      </c>
      <c r="E336" s="77" t="str">
        <f t="shared" si="98"/>
        <v>No</v>
      </c>
      <c r="F336" s="75">
        <f t="shared" si="99"/>
        <v>4</v>
      </c>
      <c r="G336" s="78">
        <f t="shared" si="100"/>
        <v>0</v>
      </c>
      <c r="H336" s="77">
        <f t="shared" si="108"/>
        <v>43845</v>
      </c>
      <c r="I336" s="77" t="str">
        <f t="shared" si="101"/>
        <v>No</v>
      </c>
      <c r="J336" s="75">
        <f t="shared" si="102"/>
        <v>1</v>
      </c>
      <c r="K336" s="78">
        <f t="shared" si="109"/>
        <v>0</v>
      </c>
      <c r="L336" s="12">
        <v>43796</v>
      </c>
      <c r="M336" s="57">
        <f t="shared" si="103"/>
        <v>25100000</v>
      </c>
      <c r="Q336" s="10">
        <f t="shared" si="112"/>
        <v>0.13</v>
      </c>
      <c r="R336" s="10">
        <f t="shared" si="111"/>
        <v>0</v>
      </c>
      <c r="S336" s="60">
        <f t="shared" si="104"/>
        <v>0.13</v>
      </c>
      <c r="T336" s="57">
        <f t="shared" si="105"/>
        <v>9063.8888888888887</v>
      </c>
      <c r="U336" s="57">
        <f t="shared" si="95"/>
        <v>2976427.7811111324</v>
      </c>
      <c r="V336" s="67">
        <f t="shared" si="96"/>
        <v>0</v>
      </c>
      <c r="Y336" s="97">
        <f t="shared" si="110"/>
        <v>0.13</v>
      </c>
      <c r="Z336" s="57">
        <f t="shared" si="97"/>
        <v>9063.8888888888887</v>
      </c>
      <c r="AA336" s="57">
        <f t="shared" si="106"/>
        <v>2884119.4444444641</v>
      </c>
      <c r="AD336" s="11"/>
    </row>
    <row r="337" spans="1:30" hidden="1" outlineLevel="1" x14ac:dyDescent="0.35">
      <c r="A337" s="75" t="str">
        <f t="shared" si="92"/>
        <v>No</v>
      </c>
      <c r="B337" s="75">
        <f t="shared" si="107"/>
        <v>11</v>
      </c>
      <c r="C337" s="76">
        <f t="shared" si="93"/>
        <v>0</v>
      </c>
      <c r="D337" s="77">
        <f t="shared" si="94"/>
        <v>43845</v>
      </c>
      <c r="E337" s="77" t="str">
        <f t="shared" si="98"/>
        <v>No</v>
      </c>
      <c r="F337" s="75">
        <f t="shared" si="99"/>
        <v>4</v>
      </c>
      <c r="G337" s="78">
        <f t="shared" si="100"/>
        <v>0</v>
      </c>
      <c r="H337" s="77">
        <f t="shared" si="108"/>
        <v>43845</v>
      </c>
      <c r="I337" s="77" t="str">
        <f t="shared" si="101"/>
        <v>No</v>
      </c>
      <c r="J337" s="75">
        <f t="shared" si="102"/>
        <v>1</v>
      </c>
      <c r="K337" s="78">
        <f t="shared" si="109"/>
        <v>0</v>
      </c>
      <c r="L337" s="12">
        <v>43797</v>
      </c>
      <c r="M337" s="57">
        <f t="shared" si="103"/>
        <v>25100000</v>
      </c>
      <c r="Q337" s="10">
        <f t="shared" si="112"/>
        <v>0.13</v>
      </c>
      <c r="R337" s="10">
        <f t="shared" si="111"/>
        <v>0</v>
      </c>
      <c r="S337" s="60">
        <f t="shared" si="104"/>
        <v>0.13</v>
      </c>
      <c r="T337" s="57">
        <f t="shared" si="105"/>
        <v>9063.8888888888887</v>
      </c>
      <c r="U337" s="57">
        <f t="shared" si="95"/>
        <v>2985491.6700000213</v>
      </c>
      <c r="V337" s="67">
        <f t="shared" si="96"/>
        <v>0</v>
      </c>
      <c r="Y337" s="97">
        <f t="shared" si="110"/>
        <v>0.13</v>
      </c>
      <c r="Z337" s="57">
        <f t="shared" si="97"/>
        <v>9063.8888888888887</v>
      </c>
      <c r="AA337" s="57">
        <f t="shared" si="106"/>
        <v>2893183.333333353</v>
      </c>
      <c r="AD337" s="11"/>
    </row>
    <row r="338" spans="1:30" hidden="1" outlineLevel="1" x14ac:dyDescent="0.35">
      <c r="A338" s="75" t="str">
        <f t="shared" si="92"/>
        <v>No</v>
      </c>
      <c r="B338" s="75">
        <f t="shared" si="107"/>
        <v>11</v>
      </c>
      <c r="C338" s="76">
        <f t="shared" si="93"/>
        <v>0</v>
      </c>
      <c r="D338" s="77">
        <f t="shared" si="94"/>
        <v>43845</v>
      </c>
      <c r="E338" s="77" t="str">
        <f t="shared" si="98"/>
        <v>No</v>
      </c>
      <c r="F338" s="75">
        <f t="shared" si="99"/>
        <v>4</v>
      </c>
      <c r="G338" s="78">
        <f t="shared" si="100"/>
        <v>0</v>
      </c>
      <c r="H338" s="77">
        <f t="shared" si="108"/>
        <v>43845</v>
      </c>
      <c r="I338" s="77" t="str">
        <f t="shared" si="101"/>
        <v>No</v>
      </c>
      <c r="J338" s="75">
        <f t="shared" si="102"/>
        <v>1</v>
      </c>
      <c r="K338" s="78">
        <f t="shared" si="109"/>
        <v>0</v>
      </c>
      <c r="L338" s="12">
        <v>43798</v>
      </c>
      <c r="M338" s="57">
        <f t="shared" si="103"/>
        <v>25100000</v>
      </c>
      <c r="Q338" s="10">
        <f t="shared" si="112"/>
        <v>0.13</v>
      </c>
      <c r="R338" s="10">
        <f t="shared" si="111"/>
        <v>0</v>
      </c>
      <c r="S338" s="60">
        <f t="shared" si="104"/>
        <v>0.13</v>
      </c>
      <c r="T338" s="57">
        <f t="shared" si="105"/>
        <v>9063.8888888888887</v>
      </c>
      <c r="U338" s="57">
        <f t="shared" si="95"/>
        <v>2994555.5588889103</v>
      </c>
      <c r="V338" s="67">
        <f t="shared" si="96"/>
        <v>0</v>
      </c>
      <c r="Y338" s="97">
        <f t="shared" si="110"/>
        <v>0.13</v>
      </c>
      <c r="Z338" s="57">
        <f t="shared" si="97"/>
        <v>9063.8888888888887</v>
      </c>
      <c r="AA338" s="57">
        <f t="shared" si="106"/>
        <v>2902247.222222242</v>
      </c>
      <c r="AD338" s="11"/>
    </row>
    <row r="339" spans="1:30" hidden="1" outlineLevel="1" x14ac:dyDescent="0.35">
      <c r="A339" s="75" t="str">
        <f t="shared" si="92"/>
        <v>No</v>
      </c>
      <c r="B339" s="75">
        <f t="shared" si="107"/>
        <v>11</v>
      </c>
      <c r="C339" s="76">
        <f t="shared" si="93"/>
        <v>0</v>
      </c>
      <c r="D339" s="77">
        <f t="shared" si="94"/>
        <v>43845</v>
      </c>
      <c r="E339" s="77" t="str">
        <f t="shared" si="98"/>
        <v>No</v>
      </c>
      <c r="F339" s="75">
        <f t="shared" si="99"/>
        <v>4</v>
      </c>
      <c r="G339" s="78">
        <f t="shared" si="100"/>
        <v>0</v>
      </c>
      <c r="H339" s="77">
        <f t="shared" si="108"/>
        <v>43845</v>
      </c>
      <c r="I339" s="77" t="str">
        <f t="shared" si="101"/>
        <v>No</v>
      </c>
      <c r="J339" s="75">
        <f t="shared" si="102"/>
        <v>1</v>
      </c>
      <c r="K339" s="78">
        <f t="shared" si="109"/>
        <v>0</v>
      </c>
      <c r="L339" s="12">
        <v>43799</v>
      </c>
      <c r="M339" s="57">
        <f t="shared" si="103"/>
        <v>25100000</v>
      </c>
      <c r="Q339" s="10">
        <f t="shared" si="112"/>
        <v>0.13</v>
      </c>
      <c r="R339" s="10">
        <f t="shared" si="111"/>
        <v>0</v>
      </c>
      <c r="S339" s="60">
        <f t="shared" si="104"/>
        <v>0.13</v>
      </c>
      <c r="T339" s="57">
        <f t="shared" si="105"/>
        <v>9063.8888888888887</v>
      </c>
      <c r="U339" s="57">
        <f t="shared" si="95"/>
        <v>3003619.4477777993</v>
      </c>
      <c r="V339" s="67">
        <f t="shared" si="96"/>
        <v>0</v>
      </c>
      <c r="Y339" s="97">
        <f t="shared" si="110"/>
        <v>0.13</v>
      </c>
      <c r="Z339" s="57">
        <f t="shared" si="97"/>
        <v>9063.8888888888887</v>
      </c>
      <c r="AA339" s="57">
        <f t="shared" si="106"/>
        <v>2911311.111111131</v>
      </c>
      <c r="AD339" s="11"/>
    </row>
    <row r="340" spans="1:30" hidden="1" outlineLevel="1" x14ac:dyDescent="0.35">
      <c r="A340" s="75" t="str">
        <f t="shared" ref="A340:A403" si="113">IF(DAY(L340)=DAY(nFirst),"Yes","No")</f>
        <v>No</v>
      </c>
      <c r="B340" s="75">
        <f t="shared" si="107"/>
        <v>11</v>
      </c>
      <c r="C340" s="76">
        <f t="shared" ref="C340:C403" si="114">IF(A340="Yes",SUMIFS($T$20:$T$435,$B$20:$B$435,B340-1),0)</f>
        <v>0</v>
      </c>
      <c r="D340" s="77">
        <f t="shared" ref="D340:D403" si="115">IF(AND(L340&gt;L339,L340&lt;D339),D339,EDATE(L340,3))</f>
        <v>43845</v>
      </c>
      <c r="E340" s="77" t="str">
        <f t="shared" si="98"/>
        <v>No</v>
      </c>
      <c r="F340" s="75">
        <f t="shared" si="99"/>
        <v>4</v>
      </c>
      <c r="G340" s="78">
        <f t="shared" si="100"/>
        <v>0</v>
      </c>
      <c r="H340" s="77">
        <f t="shared" si="108"/>
        <v>43845</v>
      </c>
      <c r="I340" s="77" t="str">
        <f t="shared" si="101"/>
        <v>No</v>
      </c>
      <c r="J340" s="75">
        <f t="shared" si="102"/>
        <v>1</v>
      </c>
      <c r="K340" s="78">
        <f t="shared" si="109"/>
        <v>0</v>
      </c>
      <c r="L340" s="12">
        <v>43800</v>
      </c>
      <c r="M340" s="57">
        <f t="shared" si="103"/>
        <v>25100000</v>
      </c>
      <c r="Q340" s="10">
        <f t="shared" si="112"/>
        <v>0.13</v>
      </c>
      <c r="R340" s="10">
        <f t="shared" si="111"/>
        <v>0</v>
      </c>
      <c r="S340" s="60">
        <f t="shared" si="104"/>
        <v>0.13</v>
      </c>
      <c r="T340" s="57">
        <f t="shared" si="105"/>
        <v>9063.8888888888887</v>
      </c>
      <c r="U340" s="57">
        <f t="shared" ref="U340:U403" si="116">T340+U339+W339+X339</f>
        <v>3012683.3366666883</v>
      </c>
      <c r="V340" s="67">
        <f t="shared" ref="V340:V403" si="117">IF(rngFrequency="Monthly",C340,IF(rngFrequency="Quarterly",G340,IF(rngFrequency="Yearly",K340,FALSE)))</f>
        <v>0</v>
      </c>
      <c r="Y340" s="97">
        <f t="shared" si="110"/>
        <v>0.13</v>
      </c>
      <c r="Z340" s="57">
        <f t="shared" ref="Z340:Z403" si="118">M340*Y340*(1/360)</f>
        <v>9063.8888888888887</v>
      </c>
      <c r="AA340" s="57">
        <f t="shared" si="106"/>
        <v>2920375.00000002</v>
      </c>
      <c r="AD340" s="11"/>
    </row>
    <row r="341" spans="1:30" hidden="1" outlineLevel="1" x14ac:dyDescent="0.35">
      <c r="A341" s="75" t="str">
        <f t="shared" si="113"/>
        <v>No</v>
      </c>
      <c r="B341" s="75">
        <f t="shared" si="107"/>
        <v>11</v>
      </c>
      <c r="C341" s="76">
        <f t="shared" si="114"/>
        <v>0</v>
      </c>
      <c r="D341" s="77">
        <f t="shared" si="115"/>
        <v>43845</v>
      </c>
      <c r="E341" s="77" t="str">
        <f t="shared" ref="E341:E404" si="119">IF(D341=D340,"No","Yes")</f>
        <v>No</v>
      </c>
      <c r="F341" s="75">
        <f t="shared" ref="F341:F404" si="120">IF(E341="Yes",F340+1,F340)</f>
        <v>4</v>
      </c>
      <c r="G341" s="78">
        <f t="shared" ref="G341:G404" si="121">IF(E341="Yes",SUMIFS($T$20:$T$435,$F$20:$F$435,F341-1),0)</f>
        <v>0</v>
      </c>
      <c r="H341" s="77">
        <f t="shared" si="108"/>
        <v>43845</v>
      </c>
      <c r="I341" s="77" t="str">
        <f t="shared" ref="I341:I404" si="122">IF(H341=H340,"No","Yes")</f>
        <v>No</v>
      </c>
      <c r="J341" s="75">
        <f t="shared" ref="J341:J404" si="123">IF(I341="Yes",J340+1,J340)</f>
        <v>1</v>
      </c>
      <c r="K341" s="78">
        <f t="shared" si="109"/>
        <v>0</v>
      </c>
      <c r="L341" s="12">
        <v>43801</v>
      </c>
      <c r="M341" s="57">
        <f t="shared" ref="M341:M404" si="124">M340+N341+O341+P341</f>
        <v>25100000</v>
      </c>
      <c r="Q341" s="10">
        <f t="shared" si="112"/>
        <v>0.13</v>
      </c>
      <c r="R341" s="10">
        <f t="shared" si="111"/>
        <v>0</v>
      </c>
      <c r="S341" s="60">
        <f t="shared" ref="S341:S404" si="125">Q341+R341</f>
        <v>0.13</v>
      </c>
      <c r="T341" s="57">
        <f t="shared" ref="T341:T404" si="126">M341*S341*(1/360)</f>
        <v>9063.8888888888887</v>
      </c>
      <c r="U341" s="57">
        <f t="shared" si="116"/>
        <v>3021747.2255555773</v>
      </c>
      <c r="V341" s="67">
        <f t="shared" si="117"/>
        <v>0</v>
      </c>
      <c r="Y341" s="97">
        <f t="shared" si="110"/>
        <v>0.13</v>
      </c>
      <c r="Z341" s="57">
        <f t="shared" si="118"/>
        <v>9063.8888888888887</v>
      </c>
      <c r="AA341" s="57">
        <f t="shared" ref="AA341:AA404" si="127">Z341+AA340+AB340+AC340</f>
        <v>2929438.888888909</v>
      </c>
      <c r="AD341" s="11"/>
    </row>
    <row r="342" spans="1:30" hidden="1" outlineLevel="1" x14ac:dyDescent="0.35">
      <c r="A342" s="75" t="str">
        <f t="shared" si="113"/>
        <v>No</v>
      </c>
      <c r="B342" s="75">
        <f t="shared" ref="B342:B405" si="128">IF(A342="Yes",B341+1,B341)</f>
        <v>11</v>
      </c>
      <c r="C342" s="76">
        <f t="shared" si="114"/>
        <v>0</v>
      </c>
      <c r="D342" s="77">
        <f t="shared" si="115"/>
        <v>43845</v>
      </c>
      <c r="E342" s="77" t="str">
        <f t="shared" si="119"/>
        <v>No</v>
      </c>
      <c r="F342" s="75">
        <f t="shared" si="120"/>
        <v>4</v>
      </c>
      <c r="G342" s="78">
        <f t="shared" si="121"/>
        <v>0</v>
      </c>
      <c r="H342" s="77">
        <f t="shared" ref="H342:H405" si="129">IF(AND(L342&gt;L341,L342&lt;H341),H341,EDATE(L342,12))</f>
        <v>43845</v>
      </c>
      <c r="I342" s="77" t="str">
        <f t="shared" si="122"/>
        <v>No</v>
      </c>
      <c r="J342" s="75">
        <f t="shared" si="123"/>
        <v>1</v>
      </c>
      <c r="K342" s="78">
        <f t="shared" si="109"/>
        <v>0</v>
      </c>
      <c r="L342" s="12">
        <v>43802</v>
      </c>
      <c r="M342" s="57">
        <f t="shared" si="124"/>
        <v>25100000</v>
      </c>
      <c r="Q342" s="10">
        <f t="shared" si="112"/>
        <v>0.13</v>
      </c>
      <c r="R342" s="10">
        <f t="shared" si="111"/>
        <v>0</v>
      </c>
      <c r="S342" s="60">
        <f t="shared" si="125"/>
        <v>0.13</v>
      </c>
      <c r="T342" s="57">
        <f t="shared" si="126"/>
        <v>9063.8888888888887</v>
      </c>
      <c r="U342" s="57">
        <f t="shared" si="116"/>
        <v>3030811.1144444663</v>
      </c>
      <c r="V342" s="67">
        <f t="shared" si="117"/>
        <v>0</v>
      </c>
      <c r="Y342" s="97">
        <f t="shared" si="110"/>
        <v>0.13</v>
      </c>
      <c r="Z342" s="57">
        <f t="shared" si="118"/>
        <v>9063.8888888888887</v>
      </c>
      <c r="AA342" s="57">
        <f t="shared" si="127"/>
        <v>2938502.777777798</v>
      </c>
      <c r="AD342" s="11"/>
    </row>
    <row r="343" spans="1:30" hidden="1" outlineLevel="1" x14ac:dyDescent="0.35">
      <c r="A343" s="75" t="str">
        <f t="shared" si="113"/>
        <v>No</v>
      </c>
      <c r="B343" s="75">
        <f t="shared" si="128"/>
        <v>11</v>
      </c>
      <c r="C343" s="76">
        <f t="shared" si="114"/>
        <v>0</v>
      </c>
      <c r="D343" s="77">
        <f t="shared" si="115"/>
        <v>43845</v>
      </c>
      <c r="E343" s="77" t="str">
        <f t="shared" si="119"/>
        <v>No</v>
      </c>
      <c r="F343" s="75">
        <f t="shared" si="120"/>
        <v>4</v>
      </c>
      <c r="G343" s="78">
        <f t="shared" si="121"/>
        <v>0</v>
      </c>
      <c r="H343" s="77">
        <f t="shared" si="129"/>
        <v>43845</v>
      </c>
      <c r="I343" s="77" t="str">
        <f t="shared" si="122"/>
        <v>No</v>
      </c>
      <c r="J343" s="75">
        <f t="shared" si="123"/>
        <v>1</v>
      </c>
      <c r="K343" s="78">
        <f t="shared" si="109"/>
        <v>0</v>
      </c>
      <c r="L343" s="12">
        <v>43803</v>
      </c>
      <c r="M343" s="57">
        <f t="shared" si="124"/>
        <v>25100000</v>
      </c>
      <c r="Q343" s="10">
        <f t="shared" si="112"/>
        <v>0.13</v>
      </c>
      <c r="R343" s="10">
        <f t="shared" si="111"/>
        <v>0</v>
      </c>
      <c r="S343" s="60">
        <f t="shared" si="125"/>
        <v>0.13</v>
      </c>
      <c r="T343" s="57">
        <f t="shared" si="126"/>
        <v>9063.8888888888887</v>
      </c>
      <c r="U343" s="57">
        <f t="shared" si="116"/>
        <v>3039875.0033333553</v>
      </c>
      <c r="V343" s="67">
        <f t="shared" si="117"/>
        <v>0</v>
      </c>
      <c r="Y343" s="97">
        <f t="shared" si="110"/>
        <v>0.13</v>
      </c>
      <c r="Z343" s="57">
        <f t="shared" si="118"/>
        <v>9063.8888888888887</v>
      </c>
      <c r="AA343" s="57">
        <f t="shared" si="127"/>
        <v>2947566.666666687</v>
      </c>
      <c r="AD343" s="11"/>
    </row>
    <row r="344" spans="1:30" hidden="1" outlineLevel="1" x14ac:dyDescent="0.35">
      <c r="A344" s="75" t="str">
        <f t="shared" si="113"/>
        <v>No</v>
      </c>
      <c r="B344" s="75">
        <f t="shared" si="128"/>
        <v>11</v>
      </c>
      <c r="C344" s="76">
        <f t="shared" si="114"/>
        <v>0</v>
      </c>
      <c r="D344" s="77">
        <f t="shared" si="115"/>
        <v>43845</v>
      </c>
      <c r="E344" s="77" t="str">
        <f t="shared" si="119"/>
        <v>No</v>
      </c>
      <c r="F344" s="75">
        <f t="shared" si="120"/>
        <v>4</v>
      </c>
      <c r="G344" s="78">
        <f t="shared" si="121"/>
        <v>0</v>
      </c>
      <c r="H344" s="77">
        <f t="shared" si="129"/>
        <v>43845</v>
      </c>
      <c r="I344" s="77" t="str">
        <f t="shared" si="122"/>
        <v>No</v>
      </c>
      <c r="J344" s="75">
        <f t="shared" si="123"/>
        <v>1</v>
      </c>
      <c r="K344" s="78">
        <f t="shared" si="109"/>
        <v>0</v>
      </c>
      <c r="L344" s="12">
        <v>43804</v>
      </c>
      <c r="M344" s="57">
        <f t="shared" si="124"/>
        <v>25100000</v>
      </c>
      <c r="Q344" s="10">
        <f t="shared" si="112"/>
        <v>0.13</v>
      </c>
      <c r="R344" s="10">
        <f t="shared" si="111"/>
        <v>0</v>
      </c>
      <c r="S344" s="60">
        <f t="shared" si="125"/>
        <v>0.13</v>
      </c>
      <c r="T344" s="57">
        <f t="shared" si="126"/>
        <v>9063.8888888888887</v>
      </c>
      <c r="U344" s="57">
        <f t="shared" si="116"/>
        <v>3048938.8922222443</v>
      </c>
      <c r="V344" s="67">
        <f t="shared" si="117"/>
        <v>0</v>
      </c>
      <c r="Y344" s="97">
        <f t="shared" si="110"/>
        <v>0.13</v>
      </c>
      <c r="Z344" s="57">
        <f t="shared" si="118"/>
        <v>9063.8888888888887</v>
      </c>
      <c r="AA344" s="57">
        <f t="shared" si="127"/>
        <v>2956630.555555576</v>
      </c>
      <c r="AD344" s="11"/>
    </row>
    <row r="345" spans="1:30" hidden="1" outlineLevel="1" x14ac:dyDescent="0.35">
      <c r="A345" s="75" t="str">
        <f t="shared" si="113"/>
        <v>No</v>
      </c>
      <c r="B345" s="75">
        <f t="shared" si="128"/>
        <v>11</v>
      </c>
      <c r="C345" s="76">
        <f t="shared" si="114"/>
        <v>0</v>
      </c>
      <c r="D345" s="77">
        <f t="shared" si="115"/>
        <v>43845</v>
      </c>
      <c r="E345" s="77" t="str">
        <f t="shared" si="119"/>
        <v>No</v>
      </c>
      <c r="F345" s="75">
        <f t="shared" si="120"/>
        <v>4</v>
      </c>
      <c r="G345" s="78">
        <f t="shared" si="121"/>
        <v>0</v>
      </c>
      <c r="H345" s="77">
        <f t="shared" si="129"/>
        <v>43845</v>
      </c>
      <c r="I345" s="77" t="str">
        <f t="shared" si="122"/>
        <v>No</v>
      </c>
      <c r="J345" s="75">
        <f t="shared" si="123"/>
        <v>1</v>
      </c>
      <c r="K345" s="78">
        <f t="shared" si="109"/>
        <v>0</v>
      </c>
      <c r="L345" s="12">
        <v>43805</v>
      </c>
      <c r="M345" s="57">
        <f t="shared" si="124"/>
        <v>25100000</v>
      </c>
      <c r="Q345" s="10">
        <f t="shared" si="112"/>
        <v>0.13</v>
      </c>
      <c r="R345" s="10">
        <f t="shared" si="111"/>
        <v>0</v>
      </c>
      <c r="S345" s="60">
        <f t="shared" si="125"/>
        <v>0.13</v>
      </c>
      <c r="T345" s="57">
        <f t="shared" si="126"/>
        <v>9063.8888888888887</v>
      </c>
      <c r="U345" s="57">
        <f t="shared" si="116"/>
        <v>3058002.7811111333</v>
      </c>
      <c r="V345" s="67">
        <f t="shared" si="117"/>
        <v>0</v>
      </c>
      <c r="Y345" s="97">
        <f t="shared" si="110"/>
        <v>0.13</v>
      </c>
      <c r="Z345" s="57">
        <f t="shared" si="118"/>
        <v>9063.8888888888887</v>
      </c>
      <c r="AA345" s="57">
        <f t="shared" si="127"/>
        <v>2965694.444444465</v>
      </c>
      <c r="AD345" s="11"/>
    </row>
    <row r="346" spans="1:30" hidden="1" outlineLevel="1" x14ac:dyDescent="0.35">
      <c r="A346" s="75" t="str">
        <f t="shared" si="113"/>
        <v>No</v>
      </c>
      <c r="B346" s="75">
        <f t="shared" si="128"/>
        <v>11</v>
      </c>
      <c r="C346" s="76">
        <f t="shared" si="114"/>
        <v>0</v>
      </c>
      <c r="D346" s="77">
        <f t="shared" si="115"/>
        <v>43845</v>
      </c>
      <c r="E346" s="77" t="str">
        <f t="shared" si="119"/>
        <v>No</v>
      </c>
      <c r="F346" s="75">
        <f t="shared" si="120"/>
        <v>4</v>
      </c>
      <c r="G346" s="78">
        <f t="shared" si="121"/>
        <v>0</v>
      </c>
      <c r="H346" s="77">
        <f t="shared" si="129"/>
        <v>43845</v>
      </c>
      <c r="I346" s="77" t="str">
        <f t="shared" si="122"/>
        <v>No</v>
      </c>
      <c r="J346" s="75">
        <f t="shared" si="123"/>
        <v>1</v>
      </c>
      <c r="K346" s="78">
        <f t="shared" si="109"/>
        <v>0</v>
      </c>
      <c r="L346" s="12">
        <v>43806</v>
      </c>
      <c r="M346" s="57">
        <f t="shared" si="124"/>
        <v>25100000</v>
      </c>
      <c r="Q346" s="10">
        <f t="shared" si="112"/>
        <v>0.13</v>
      </c>
      <c r="R346" s="10">
        <f t="shared" si="111"/>
        <v>0</v>
      </c>
      <c r="S346" s="60">
        <f t="shared" si="125"/>
        <v>0.13</v>
      </c>
      <c r="T346" s="57">
        <f t="shared" si="126"/>
        <v>9063.8888888888887</v>
      </c>
      <c r="U346" s="57">
        <f t="shared" si="116"/>
        <v>3067066.6700000223</v>
      </c>
      <c r="V346" s="67">
        <f t="shared" si="117"/>
        <v>0</v>
      </c>
      <c r="Y346" s="97">
        <f t="shared" si="110"/>
        <v>0.13</v>
      </c>
      <c r="Z346" s="57">
        <f t="shared" si="118"/>
        <v>9063.8888888888887</v>
      </c>
      <c r="AA346" s="57">
        <f t="shared" si="127"/>
        <v>2974758.333333354</v>
      </c>
      <c r="AD346" s="11"/>
    </row>
    <row r="347" spans="1:30" hidden="1" outlineLevel="1" x14ac:dyDescent="0.35">
      <c r="A347" s="75" t="str">
        <f t="shared" si="113"/>
        <v>No</v>
      </c>
      <c r="B347" s="75">
        <f t="shared" si="128"/>
        <v>11</v>
      </c>
      <c r="C347" s="76">
        <f t="shared" si="114"/>
        <v>0</v>
      </c>
      <c r="D347" s="77">
        <f t="shared" si="115"/>
        <v>43845</v>
      </c>
      <c r="E347" s="77" t="str">
        <f t="shared" si="119"/>
        <v>No</v>
      </c>
      <c r="F347" s="75">
        <f t="shared" si="120"/>
        <v>4</v>
      </c>
      <c r="G347" s="78">
        <f t="shared" si="121"/>
        <v>0</v>
      </c>
      <c r="H347" s="77">
        <f t="shared" si="129"/>
        <v>43845</v>
      </c>
      <c r="I347" s="77" t="str">
        <f t="shared" si="122"/>
        <v>No</v>
      </c>
      <c r="J347" s="75">
        <f t="shared" si="123"/>
        <v>1</v>
      </c>
      <c r="K347" s="78">
        <f t="shared" si="109"/>
        <v>0</v>
      </c>
      <c r="L347" s="12">
        <v>43807</v>
      </c>
      <c r="M347" s="57">
        <f t="shared" si="124"/>
        <v>25100000</v>
      </c>
      <c r="Q347" s="10">
        <f t="shared" si="112"/>
        <v>0.13</v>
      </c>
      <c r="R347" s="10">
        <f t="shared" si="111"/>
        <v>0</v>
      </c>
      <c r="S347" s="60">
        <f t="shared" si="125"/>
        <v>0.13</v>
      </c>
      <c r="T347" s="57">
        <f t="shared" si="126"/>
        <v>9063.8888888888887</v>
      </c>
      <c r="U347" s="57">
        <f t="shared" si="116"/>
        <v>3076130.5588889113</v>
      </c>
      <c r="V347" s="67">
        <f t="shared" si="117"/>
        <v>0</v>
      </c>
      <c r="Y347" s="97">
        <f t="shared" si="110"/>
        <v>0.13</v>
      </c>
      <c r="Z347" s="57">
        <f t="shared" si="118"/>
        <v>9063.8888888888887</v>
      </c>
      <c r="AA347" s="57">
        <f t="shared" si="127"/>
        <v>2983822.222222243</v>
      </c>
      <c r="AD347" s="11"/>
    </row>
    <row r="348" spans="1:30" hidden="1" outlineLevel="1" x14ac:dyDescent="0.35">
      <c r="A348" s="75" t="str">
        <f t="shared" si="113"/>
        <v>No</v>
      </c>
      <c r="B348" s="75">
        <f t="shared" si="128"/>
        <v>11</v>
      </c>
      <c r="C348" s="76">
        <f t="shared" si="114"/>
        <v>0</v>
      </c>
      <c r="D348" s="77">
        <f t="shared" si="115"/>
        <v>43845</v>
      </c>
      <c r="E348" s="77" t="str">
        <f t="shared" si="119"/>
        <v>No</v>
      </c>
      <c r="F348" s="75">
        <f t="shared" si="120"/>
        <v>4</v>
      </c>
      <c r="G348" s="78">
        <f t="shared" si="121"/>
        <v>0</v>
      </c>
      <c r="H348" s="77">
        <f t="shared" si="129"/>
        <v>43845</v>
      </c>
      <c r="I348" s="77" t="str">
        <f t="shared" si="122"/>
        <v>No</v>
      </c>
      <c r="J348" s="75">
        <f t="shared" si="123"/>
        <v>1</v>
      </c>
      <c r="K348" s="78">
        <f t="shared" si="109"/>
        <v>0</v>
      </c>
      <c r="L348" s="12">
        <v>43808</v>
      </c>
      <c r="M348" s="57">
        <f t="shared" si="124"/>
        <v>25100000</v>
      </c>
      <c r="Q348" s="10">
        <f t="shared" si="112"/>
        <v>0.13</v>
      </c>
      <c r="R348" s="10">
        <f t="shared" si="111"/>
        <v>0</v>
      </c>
      <c r="S348" s="60">
        <f t="shared" si="125"/>
        <v>0.13</v>
      </c>
      <c r="T348" s="57">
        <f t="shared" si="126"/>
        <v>9063.8888888888887</v>
      </c>
      <c r="U348" s="57">
        <f t="shared" si="116"/>
        <v>3085194.4477778003</v>
      </c>
      <c r="V348" s="67">
        <f t="shared" si="117"/>
        <v>0</v>
      </c>
      <c r="Y348" s="97">
        <f t="shared" si="110"/>
        <v>0.13</v>
      </c>
      <c r="Z348" s="57">
        <f t="shared" si="118"/>
        <v>9063.8888888888887</v>
      </c>
      <c r="AA348" s="57">
        <f t="shared" si="127"/>
        <v>2992886.111111132</v>
      </c>
      <c r="AD348" s="11"/>
    </row>
    <row r="349" spans="1:30" hidden="1" outlineLevel="1" x14ac:dyDescent="0.35">
      <c r="A349" s="75" t="str">
        <f t="shared" si="113"/>
        <v>No</v>
      </c>
      <c r="B349" s="75">
        <f t="shared" si="128"/>
        <v>11</v>
      </c>
      <c r="C349" s="76">
        <f t="shared" si="114"/>
        <v>0</v>
      </c>
      <c r="D349" s="77">
        <f t="shared" si="115"/>
        <v>43845</v>
      </c>
      <c r="E349" s="77" t="str">
        <f t="shared" si="119"/>
        <v>No</v>
      </c>
      <c r="F349" s="75">
        <f t="shared" si="120"/>
        <v>4</v>
      </c>
      <c r="G349" s="78">
        <f t="shared" si="121"/>
        <v>0</v>
      </c>
      <c r="H349" s="77">
        <f t="shared" si="129"/>
        <v>43845</v>
      </c>
      <c r="I349" s="77" t="str">
        <f t="shared" si="122"/>
        <v>No</v>
      </c>
      <c r="J349" s="75">
        <f t="shared" si="123"/>
        <v>1</v>
      </c>
      <c r="K349" s="78">
        <f t="shared" ref="K349:K412" si="130">IF(I349="Yes",SUMIFS($T$20:$T$435,$J$20:$J$435,J349-1),0)</f>
        <v>0</v>
      </c>
      <c r="L349" s="12">
        <v>43809</v>
      </c>
      <c r="M349" s="57">
        <f t="shared" si="124"/>
        <v>25100000</v>
      </c>
      <c r="Q349" s="10">
        <f t="shared" si="112"/>
        <v>0.13</v>
      </c>
      <c r="R349" s="10">
        <f t="shared" si="111"/>
        <v>0</v>
      </c>
      <c r="S349" s="60">
        <f t="shared" si="125"/>
        <v>0.13</v>
      </c>
      <c r="T349" s="57">
        <f t="shared" si="126"/>
        <v>9063.8888888888887</v>
      </c>
      <c r="U349" s="57">
        <f t="shared" si="116"/>
        <v>3094258.3366666893</v>
      </c>
      <c r="V349" s="67">
        <f t="shared" si="117"/>
        <v>0</v>
      </c>
      <c r="Y349" s="97">
        <f t="shared" si="110"/>
        <v>0.13</v>
      </c>
      <c r="Z349" s="57">
        <f t="shared" si="118"/>
        <v>9063.8888888888887</v>
      </c>
      <c r="AA349" s="57">
        <f t="shared" si="127"/>
        <v>3001950.000000021</v>
      </c>
      <c r="AD349" s="11"/>
    </row>
    <row r="350" spans="1:30" hidden="1" outlineLevel="1" x14ac:dyDescent="0.35">
      <c r="A350" s="75" t="str">
        <f t="shared" si="113"/>
        <v>No</v>
      </c>
      <c r="B350" s="75">
        <f t="shared" si="128"/>
        <v>11</v>
      </c>
      <c r="C350" s="76">
        <f t="shared" si="114"/>
        <v>0</v>
      </c>
      <c r="D350" s="77">
        <f t="shared" si="115"/>
        <v>43845</v>
      </c>
      <c r="E350" s="77" t="str">
        <f t="shared" si="119"/>
        <v>No</v>
      </c>
      <c r="F350" s="75">
        <f t="shared" si="120"/>
        <v>4</v>
      </c>
      <c r="G350" s="78">
        <f t="shared" si="121"/>
        <v>0</v>
      </c>
      <c r="H350" s="77">
        <f t="shared" si="129"/>
        <v>43845</v>
      </c>
      <c r="I350" s="77" t="str">
        <f t="shared" si="122"/>
        <v>No</v>
      </c>
      <c r="J350" s="75">
        <f t="shared" si="123"/>
        <v>1</v>
      </c>
      <c r="K350" s="78">
        <f t="shared" si="130"/>
        <v>0</v>
      </c>
      <c r="L350" s="12">
        <v>43810</v>
      </c>
      <c r="M350" s="57">
        <f t="shared" si="124"/>
        <v>25100000</v>
      </c>
      <c r="Q350" s="10">
        <f t="shared" si="112"/>
        <v>0.13</v>
      </c>
      <c r="R350" s="10">
        <f t="shared" si="111"/>
        <v>0</v>
      </c>
      <c r="S350" s="60">
        <f t="shared" si="125"/>
        <v>0.13</v>
      </c>
      <c r="T350" s="57">
        <f t="shared" si="126"/>
        <v>9063.8888888888887</v>
      </c>
      <c r="U350" s="57">
        <f t="shared" si="116"/>
        <v>3103322.2255555782</v>
      </c>
      <c r="V350" s="67">
        <f t="shared" si="117"/>
        <v>0</v>
      </c>
      <c r="Y350" s="97">
        <f t="shared" si="110"/>
        <v>0.13</v>
      </c>
      <c r="Z350" s="57">
        <f t="shared" si="118"/>
        <v>9063.8888888888887</v>
      </c>
      <c r="AA350" s="57">
        <f t="shared" si="127"/>
        <v>3011013.8888889099</v>
      </c>
      <c r="AD350" s="11"/>
    </row>
    <row r="351" spans="1:30" hidden="1" outlineLevel="1" x14ac:dyDescent="0.35">
      <c r="A351" s="75" t="str">
        <f t="shared" si="113"/>
        <v>No</v>
      </c>
      <c r="B351" s="75">
        <f t="shared" si="128"/>
        <v>11</v>
      </c>
      <c r="C351" s="76">
        <f t="shared" si="114"/>
        <v>0</v>
      </c>
      <c r="D351" s="77">
        <f t="shared" si="115"/>
        <v>43845</v>
      </c>
      <c r="E351" s="77" t="str">
        <f t="shared" si="119"/>
        <v>No</v>
      </c>
      <c r="F351" s="75">
        <f t="shared" si="120"/>
        <v>4</v>
      </c>
      <c r="G351" s="78">
        <f t="shared" si="121"/>
        <v>0</v>
      </c>
      <c r="H351" s="77">
        <f t="shared" si="129"/>
        <v>43845</v>
      </c>
      <c r="I351" s="77" t="str">
        <f t="shared" si="122"/>
        <v>No</v>
      </c>
      <c r="J351" s="75">
        <f t="shared" si="123"/>
        <v>1</v>
      </c>
      <c r="K351" s="78">
        <f t="shared" si="130"/>
        <v>0</v>
      </c>
      <c r="L351" s="12">
        <v>43811</v>
      </c>
      <c r="M351" s="57">
        <f t="shared" si="124"/>
        <v>25100000</v>
      </c>
      <c r="Q351" s="10">
        <f t="shared" si="112"/>
        <v>0.13</v>
      </c>
      <c r="R351" s="10">
        <f t="shared" si="111"/>
        <v>0</v>
      </c>
      <c r="S351" s="60">
        <f t="shared" si="125"/>
        <v>0.13</v>
      </c>
      <c r="T351" s="57">
        <f t="shared" si="126"/>
        <v>9063.8888888888887</v>
      </c>
      <c r="U351" s="57">
        <f t="shared" si="116"/>
        <v>3112386.1144444672</v>
      </c>
      <c r="V351" s="67">
        <f t="shared" si="117"/>
        <v>0</v>
      </c>
      <c r="Y351" s="97">
        <f t="shared" si="110"/>
        <v>0.13</v>
      </c>
      <c r="Z351" s="57">
        <f t="shared" si="118"/>
        <v>9063.8888888888887</v>
      </c>
      <c r="AA351" s="57">
        <f t="shared" si="127"/>
        <v>3020077.7777777989</v>
      </c>
      <c r="AD351" s="11"/>
    </row>
    <row r="352" spans="1:30" hidden="1" outlineLevel="1" x14ac:dyDescent="0.35">
      <c r="A352" s="75" t="str">
        <f t="shared" si="113"/>
        <v>No</v>
      </c>
      <c r="B352" s="75">
        <f t="shared" si="128"/>
        <v>11</v>
      </c>
      <c r="C352" s="76">
        <f t="shared" si="114"/>
        <v>0</v>
      </c>
      <c r="D352" s="77">
        <f t="shared" si="115"/>
        <v>43845</v>
      </c>
      <c r="E352" s="77" t="str">
        <f t="shared" si="119"/>
        <v>No</v>
      </c>
      <c r="F352" s="75">
        <f t="shared" si="120"/>
        <v>4</v>
      </c>
      <c r="G352" s="78">
        <f t="shared" si="121"/>
        <v>0</v>
      </c>
      <c r="H352" s="77">
        <f t="shared" si="129"/>
        <v>43845</v>
      </c>
      <c r="I352" s="77" t="str">
        <f t="shared" si="122"/>
        <v>No</v>
      </c>
      <c r="J352" s="75">
        <f t="shared" si="123"/>
        <v>1</v>
      </c>
      <c r="K352" s="78">
        <f t="shared" si="130"/>
        <v>0</v>
      </c>
      <c r="L352" s="12">
        <v>43812</v>
      </c>
      <c r="M352" s="57">
        <f t="shared" si="124"/>
        <v>25100000</v>
      </c>
      <c r="Q352" s="10">
        <f t="shared" si="112"/>
        <v>0.13</v>
      </c>
      <c r="R352" s="10">
        <f t="shared" si="111"/>
        <v>0</v>
      </c>
      <c r="S352" s="60">
        <f t="shared" si="125"/>
        <v>0.13</v>
      </c>
      <c r="T352" s="57">
        <f t="shared" si="126"/>
        <v>9063.8888888888887</v>
      </c>
      <c r="U352" s="57">
        <f t="shared" si="116"/>
        <v>3121450.0033333562</v>
      </c>
      <c r="V352" s="67">
        <f t="shared" si="117"/>
        <v>0</v>
      </c>
      <c r="Y352" s="97">
        <f t="shared" si="110"/>
        <v>0.13</v>
      </c>
      <c r="Z352" s="57">
        <f t="shared" si="118"/>
        <v>9063.8888888888887</v>
      </c>
      <c r="AA352" s="57">
        <f t="shared" si="127"/>
        <v>3029141.6666666879</v>
      </c>
      <c r="AD352" s="11"/>
    </row>
    <row r="353" spans="1:30" hidden="1" outlineLevel="1" x14ac:dyDescent="0.35">
      <c r="A353" s="75" t="str">
        <f t="shared" si="113"/>
        <v>No</v>
      </c>
      <c r="B353" s="75">
        <f t="shared" si="128"/>
        <v>11</v>
      </c>
      <c r="C353" s="76">
        <f t="shared" si="114"/>
        <v>0</v>
      </c>
      <c r="D353" s="77">
        <f t="shared" si="115"/>
        <v>43845</v>
      </c>
      <c r="E353" s="77" t="str">
        <f t="shared" si="119"/>
        <v>No</v>
      </c>
      <c r="F353" s="75">
        <f t="shared" si="120"/>
        <v>4</v>
      </c>
      <c r="G353" s="78">
        <f t="shared" si="121"/>
        <v>0</v>
      </c>
      <c r="H353" s="77">
        <f t="shared" si="129"/>
        <v>43845</v>
      </c>
      <c r="I353" s="77" t="str">
        <f t="shared" si="122"/>
        <v>No</v>
      </c>
      <c r="J353" s="75">
        <f t="shared" si="123"/>
        <v>1</v>
      </c>
      <c r="K353" s="78">
        <f t="shared" si="130"/>
        <v>0</v>
      </c>
      <c r="L353" s="12">
        <v>43813</v>
      </c>
      <c r="M353" s="57">
        <f t="shared" si="124"/>
        <v>25100000</v>
      </c>
      <c r="Q353" s="10">
        <f t="shared" si="112"/>
        <v>0.13</v>
      </c>
      <c r="R353" s="10">
        <f t="shared" si="111"/>
        <v>0</v>
      </c>
      <c r="S353" s="60">
        <f t="shared" si="125"/>
        <v>0.13</v>
      </c>
      <c r="T353" s="57">
        <f t="shared" si="126"/>
        <v>9063.8888888888887</v>
      </c>
      <c r="U353" s="57">
        <f t="shared" si="116"/>
        <v>3130513.8922222452</v>
      </c>
      <c r="V353" s="67">
        <f t="shared" si="117"/>
        <v>0</v>
      </c>
      <c r="Y353" s="97">
        <f t="shared" si="110"/>
        <v>0.13</v>
      </c>
      <c r="Z353" s="57">
        <f t="shared" si="118"/>
        <v>9063.8888888888887</v>
      </c>
      <c r="AA353" s="57">
        <f t="shared" si="127"/>
        <v>3038205.5555555769</v>
      </c>
      <c r="AD353" s="11"/>
    </row>
    <row r="354" spans="1:30" hidden="1" outlineLevel="1" x14ac:dyDescent="0.35">
      <c r="A354" s="75" t="str">
        <f t="shared" si="113"/>
        <v>Yes</v>
      </c>
      <c r="B354" s="75">
        <f t="shared" si="128"/>
        <v>12</v>
      </c>
      <c r="C354" s="76">
        <f t="shared" si="114"/>
        <v>271916.66666666651</v>
      </c>
      <c r="D354" s="77">
        <f t="shared" si="115"/>
        <v>43845</v>
      </c>
      <c r="E354" s="77" t="str">
        <f t="shared" si="119"/>
        <v>No</v>
      </c>
      <c r="F354" s="75">
        <f t="shared" si="120"/>
        <v>4</v>
      </c>
      <c r="G354" s="78">
        <f t="shared" si="121"/>
        <v>0</v>
      </c>
      <c r="H354" s="77">
        <f t="shared" si="129"/>
        <v>43845</v>
      </c>
      <c r="I354" s="77" t="str">
        <f t="shared" si="122"/>
        <v>No</v>
      </c>
      <c r="J354" s="75">
        <f t="shared" si="123"/>
        <v>1</v>
      </c>
      <c r="K354" s="78">
        <f t="shared" si="130"/>
        <v>0</v>
      </c>
      <c r="L354" s="12">
        <v>43814</v>
      </c>
      <c r="M354" s="57">
        <f t="shared" si="124"/>
        <v>25100000</v>
      </c>
      <c r="Q354" s="10">
        <f t="shared" si="112"/>
        <v>0.13</v>
      </c>
      <c r="R354" s="10">
        <f t="shared" si="111"/>
        <v>0</v>
      </c>
      <c r="S354" s="60">
        <f t="shared" si="125"/>
        <v>0.13</v>
      </c>
      <c r="T354" s="57">
        <f t="shared" si="126"/>
        <v>9063.8888888888887</v>
      </c>
      <c r="U354" s="57">
        <f t="shared" si="116"/>
        <v>3139577.7811111342</v>
      </c>
      <c r="V354" s="67">
        <f t="shared" si="117"/>
        <v>271916.66666666651</v>
      </c>
      <c r="Y354" s="97">
        <f t="shared" si="110"/>
        <v>0.13</v>
      </c>
      <c r="Z354" s="57">
        <f t="shared" si="118"/>
        <v>9063.8888888888887</v>
      </c>
      <c r="AA354" s="57">
        <f t="shared" si="127"/>
        <v>3047269.4444444659</v>
      </c>
      <c r="AD354" s="11"/>
    </row>
    <row r="355" spans="1:30" hidden="1" outlineLevel="1" x14ac:dyDescent="0.35">
      <c r="A355" s="75" t="str">
        <f t="shared" si="113"/>
        <v>No</v>
      </c>
      <c r="B355" s="75">
        <f t="shared" si="128"/>
        <v>12</v>
      </c>
      <c r="C355" s="76">
        <f t="shared" si="114"/>
        <v>0</v>
      </c>
      <c r="D355" s="77">
        <f t="shared" si="115"/>
        <v>43845</v>
      </c>
      <c r="E355" s="77" t="str">
        <f t="shared" si="119"/>
        <v>No</v>
      </c>
      <c r="F355" s="75">
        <f t="shared" si="120"/>
        <v>4</v>
      </c>
      <c r="G355" s="78">
        <f t="shared" si="121"/>
        <v>0</v>
      </c>
      <c r="H355" s="77">
        <f t="shared" si="129"/>
        <v>43845</v>
      </c>
      <c r="I355" s="77" t="str">
        <f t="shared" si="122"/>
        <v>No</v>
      </c>
      <c r="J355" s="75">
        <f t="shared" si="123"/>
        <v>1</v>
      </c>
      <c r="K355" s="78">
        <f t="shared" si="130"/>
        <v>0</v>
      </c>
      <c r="L355" s="12">
        <v>43815</v>
      </c>
      <c r="M355" s="57">
        <f t="shared" si="124"/>
        <v>25100000</v>
      </c>
      <c r="Q355" s="10">
        <f t="shared" si="112"/>
        <v>0.13</v>
      </c>
      <c r="R355" s="10">
        <f t="shared" si="111"/>
        <v>0</v>
      </c>
      <c r="S355" s="60">
        <f t="shared" si="125"/>
        <v>0.13</v>
      </c>
      <c r="T355" s="57">
        <f t="shared" si="126"/>
        <v>9063.8888888888887</v>
      </c>
      <c r="U355" s="57">
        <f t="shared" si="116"/>
        <v>3148641.6700000232</v>
      </c>
      <c r="V355" s="67">
        <f t="shared" si="117"/>
        <v>0</v>
      </c>
      <c r="Y355" s="97">
        <f t="shared" si="110"/>
        <v>0.13</v>
      </c>
      <c r="Z355" s="57">
        <f t="shared" si="118"/>
        <v>9063.8888888888887</v>
      </c>
      <c r="AA355" s="57">
        <f t="shared" si="127"/>
        <v>3056333.3333333549</v>
      </c>
      <c r="AD355" s="11"/>
    </row>
    <row r="356" spans="1:30" hidden="1" outlineLevel="1" x14ac:dyDescent="0.35">
      <c r="A356" s="75" t="str">
        <f t="shared" si="113"/>
        <v>No</v>
      </c>
      <c r="B356" s="75">
        <f t="shared" si="128"/>
        <v>12</v>
      </c>
      <c r="C356" s="76">
        <f t="shared" si="114"/>
        <v>0</v>
      </c>
      <c r="D356" s="77">
        <f t="shared" si="115"/>
        <v>43845</v>
      </c>
      <c r="E356" s="77" t="str">
        <f t="shared" si="119"/>
        <v>No</v>
      </c>
      <c r="F356" s="75">
        <f t="shared" si="120"/>
        <v>4</v>
      </c>
      <c r="G356" s="78">
        <f t="shared" si="121"/>
        <v>0</v>
      </c>
      <c r="H356" s="77">
        <f t="shared" si="129"/>
        <v>43845</v>
      </c>
      <c r="I356" s="77" t="str">
        <f t="shared" si="122"/>
        <v>No</v>
      </c>
      <c r="J356" s="75">
        <f t="shared" si="123"/>
        <v>1</v>
      </c>
      <c r="K356" s="78">
        <f t="shared" si="130"/>
        <v>0</v>
      </c>
      <c r="L356" s="12">
        <v>43816</v>
      </c>
      <c r="M356" s="57">
        <f t="shared" si="124"/>
        <v>25100000</v>
      </c>
      <c r="Q356" s="10">
        <f t="shared" si="112"/>
        <v>0.13</v>
      </c>
      <c r="R356" s="10">
        <f t="shared" si="111"/>
        <v>0</v>
      </c>
      <c r="S356" s="60">
        <f t="shared" si="125"/>
        <v>0.13</v>
      </c>
      <c r="T356" s="57">
        <f t="shared" si="126"/>
        <v>9063.8888888888887</v>
      </c>
      <c r="U356" s="57">
        <f t="shared" si="116"/>
        <v>3157705.5588889122</v>
      </c>
      <c r="V356" s="67">
        <f t="shared" si="117"/>
        <v>0</v>
      </c>
      <c r="Y356" s="97">
        <f t="shared" si="110"/>
        <v>0.13</v>
      </c>
      <c r="Z356" s="57">
        <f t="shared" si="118"/>
        <v>9063.8888888888887</v>
      </c>
      <c r="AA356" s="57">
        <f t="shared" si="127"/>
        <v>3065397.2222222439</v>
      </c>
      <c r="AD356" s="11"/>
    </row>
    <row r="357" spans="1:30" hidden="1" outlineLevel="1" x14ac:dyDescent="0.35">
      <c r="A357" s="75" t="str">
        <f t="shared" si="113"/>
        <v>No</v>
      </c>
      <c r="B357" s="75">
        <f t="shared" si="128"/>
        <v>12</v>
      </c>
      <c r="C357" s="76">
        <f t="shared" si="114"/>
        <v>0</v>
      </c>
      <c r="D357" s="77">
        <f t="shared" si="115"/>
        <v>43845</v>
      </c>
      <c r="E357" s="77" t="str">
        <f t="shared" si="119"/>
        <v>No</v>
      </c>
      <c r="F357" s="75">
        <f t="shared" si="120"/>
        <v>4</v>
      </c>
      <c r="G357" s="78">
        <f t="shared" si="121"/>
        <v>0</v>
      </c>
      <c r="H357" s="77">
        <f t="shared" si="129"/>
        <v>43845</v>
      </c>
      <c r="I357" s="77" t="str">
        <f t="shared" si="122"/>
        <v>No</v>
      </c>
      <c r="J357" s="75">
        <f t="shared" si="123"/>
        <v>1</v>
      </c>
      <c r="K357" s="78">
        <f t="shared" si="130"/>
        <v>0</v>
      </c>
      <c r="L357" s="12">
        <v>43817</v>
      </c>
      <c r="M357" s="57">
        <f t="shared" si="124"/>
        <v>25100000</v>
      </c>
      <c r="Q357" s="10">
        <f t="shared" si="112"/>
        <v>0.13</v>
      </c>
      <c r="R357" s="10">
        <f t="shared" si="111"/>
        <v>0</v>
      </c>
      <c r="S357" s="60">
        <f t="shared" si="125"/>
        <v>0.13</v>
      </c>
      <c r="T357" s="57">
        <f t="shared" si="126"/>
        <v>9063.8888888888887</v>
      </c>
      <c r="U357" s="57">
        <f t="shared" si="116"/>
        <v>3166769.4477778012</v>
      </c>
      <c r="V357" s="67">
        <f t="shared" si="117"/>
        <v>0</v>
      </c>
      <c r="Y357" s="97">
        <f t="shared" si="110"/>
        <v>0.13</v>
      </c>
      <c r="Z357" s="57">
        <f t="shared" si="118"/>
        <v>9063.8888888888887</v>
      </c>
      <c r="AA357" s="57">
        <f t="shared" si="127"/>
        <v>3074461.1111111329</v>
      </c>
      <c r="AD357" s="11"/>
    </row>
    <row r="358" spans="1:30" hidden="1" outlineLevel="1" x14ac:dyDescent="0.35">
      <c r="A358" s="75" t="str">
        <f t="shared" si="113"/>
        <v>No</v>
      </c>
      <c r="B358" s="75">
        <f t="shared" si="128"/>
        <v>12</v>
      </c>
      <c r="C358" s="76">
        <f t="shared" si="114"/>
        <v>0</v>
      </c>
      <c r="D358" s="77">
        <f t="shared" si="115"/>
        <v>43845</v>
      </c>
      <c r="E358" s="77" t="str">
        <f t="shared" si="119"/>
        <v>No</v>
      </c>
      <c r="F358" s="75">
        <f t="shared" si="120"/>
        <v>4</v>
      </c>
      <c r="G358" s="78">
        <f t="shared" si="121"/>
        <v>0</v>
      </c>
      <c r="H358" s="77">
        <f t="shared" si="129"/>
        <v>43845</v>
      </c>
      <c r="I358" s="77" t="str">
        <f t="shared" si="122"/>
        <v>No</v>
      </c>
      <c r="J358" s="75">
        <f t="shared" si="123"/>
        <v>1</v>
      </c>
      <c r="K358" s="78">
        <f t="shared" si="130"/>
        <v>0</v>
      </c>
      <c r="L358" s="12">
        <v>43818</v>
      </c>
      <c r="M358" s="57">
        <f t="shared" si="124"/>
        <v>25100000</v>
      </c>
      <c r="Q358" s="10">
        <f t="shared" si="112"/>
        <v>0.13</v>
      </c>
      <c r="R358" s="10">
        <f t="shared" si="111"/>
        <v>0</v>
      </c>
      <c r="S358" s="60">
        <f t="shared" si="125"/>
        <v>0.13</v>
      </c>
      <c r="T358" s="57">
        <f t="shared" si="126"/>
        <v>9063.8888888888887</v>
      </c>
      <c r="U358" s="57">
        <f t="shared" si="116"/>
        <v>3175833.3366666902</v>
      </c>
      <c r="V358" s="67">
        <f t="shared" si="117"/>
        <v>0</v>
      </c>
      <c r="Y358" s="97">
        <f t="shared" ref="Y358:Y421" si="131">Y357</f>
        <v>0.13</v>
      </c>
      <c r="Z358" s="57">
        <f t="shared" si="118"/>
        <v>9063.8888888888887</v>
      </c>
      <c r="AA358" s="57">
        <f t="shared" si="127"/>
        <v>3083525.0000000219</v>
      </c>
      <c r="AD358" s="11"/>
    </row>
    <row r="359" spans="1:30" hidden="1" outlineLevel="1" x14ac:dyDescent="0.35">
      <c r="A359" s="75" t="str">
        <f t="shared" si="113"/>
        <v>No</v>
      </c>
      <c r="B359" s="75">
        <f t="shared" si="128"/>
        <v>12</v>
      </c>
      <c r="C359" s="76">
        <f t="shared" si="114"/>
        <v>0</v>
      </c>
      <c r="D359" s="77">
        <f t="shared" si="115"/>
        <v>43845</v>
      </c>
      <c r="E359" s="77" t="str">
        <f t="shared" si="119"/>
        <v>No</v>
      </c>
      <c r="F359" s="75">
        <f t="shared" si="120"/>
        <v>4</v>
      </c>
      <c r="G359" s="78">
        <f t="shared" si="121"/>
        <v>0</v>
      </c>
      <c r="H359" s="77">
        <f t="shared" si="129"/>
        <v>43845</v>
      </c>
      <c r="I359" s="77" t="str">
        <f t="shared" si="122"/>
        <v>No</v>
      </c>
      <c r="J359" s="75">
        <f t="shared" si="123"/>
        <v>1</v>
      </c>
      <c r="K359" s="78">
        <f t="shared" si="130"/>
        <v>0</v>
      </c>
      <c r="L359" s="12">
        <v>43819</v>
      </c>
      <c r="M359" s="57">
        <f t="shared" si="124"/>
        <v>25100000</v>
      </c>
      <c r="Q359" s="10">
        <f t="shared" si="112"/>
        <v>0.13</v>
      </c>
      <c r="R359" s="10">
        <f t="shared" si="111"/>
        <v>0</v>
      </c>
      <c r="S359" s="60">
        <f t="shared" si="125"/>
        <v>0.13</v>
      </c>
      <c r="T359" s="57">
        <f t="shared" si="126"/>
        <v>9063.8888888888887</v>
      </c>
      <c r="U359" s="57">
        <f t="shared" si="116"/>
        <v>3184897.2255555792</v>
      </c>
      <c r="V359" s="67">
        <f t="shared" si="117"/>
        <v>0</v>
      </c>
      <c r="Y359" s="97">
        <f t="shared" si="131"/>
        <v>0.13</v>
      </c>
      <c r="Z359" s="57">
        <f t="shared" si="118"/>
        <v>9063.8888888888887</v>
      </c>
      <c r="AA359" s="57">
        <f t="shared" si="127"/>
        <v>3092588.8888889109</v>
      </c>
      <c r="AD359" s="11"/>
    </row>
    <row r="360" spans="1:30" hidden="1" outlineLevel="1" x14ac:dyDescent="0.35">
      <c r="A360" s="75" t="str">
        <f t="shared" si="113"/>
        <v>No</v>
      </c>
      <c r="B360" s="75">
        <f t="shared" si="128"/>
        <v>12</v>
      </c>
      <c r="C360" s="76">
        <f t="shared" si="114"/>
        <v>0</v>
      </c>
      <c r="D360" s="77">
        <f t="shared" si="115"/>
        <v>43845</v>
      </c>
      <c r="E360" s="77" t="str">
        <f t="shared" si="119"/>
        <v>No</v>
      </c>
      <c r="F360" s="75">
        <f t="shared" si="120"/>
        <v>4</v>
      </c>
      <c r="G360" s="78">
        <f t="shared" si="121"/>
        <v>0</v>
      </c>
      <c r="H360" s="77">
        <f t="shared" si="129"/>
        <v>43845</v>
      </c>
      <c r="I360" s="77" t="str">
        <f t="shared" si="122"/>
        <v>No</v>
      </c>
      <c r="J360" s="75">
        <f t="shared" si="123"/>
        <v>1</v>
      </c>
      <c r="K360" s="78">
        <f t="shared" si="130"/>
        <v>0</v>
      </c>
      <c r="L360" s="12">
        <v>43820</v>
      </c>
      <c r="M360" s="57">
        <f t="shared" si="124"/>
        <v>25100000</v>
      </c>
      <c r="Q360" s="10">
        <f t="shared" si="112"/>
        <v>0.13</v>
      </c>
      <c r="R360" s="10">
        <f t="shared" si="111"/>
        <v>0</v>
      </c>
      <c r="S360" s="60">
        <f t="shared" si="125"/>
        <v>0.13</v>
      </c>
      <c r="T360" s="57">
        <f t="shared" si="126"/>
        <v>9063.8888888888887</v>
      </c>
      <c r="U360" s="57">
        <f t="shared" si="116"/>
        <v>3193961.1144444682</v>
      </c>
      <c r="V360" s="67">
        <f t="shared" si="117"/>
        <v>0</v>
      </c>
      <c r="Y360" s="97">
        <f t="shared" si="131"/>
        <v>0.13</v>
      </c>
      <c r="Z360" s="57">
        <f t="shared" si="118"/>
        <v>9063.8888888888887</v>
      </c>
      <c r="AA360" s="57">
        <f t="shared" si="127"/>
        <v>3101652.7777777999</v>
      </c>
      <c r="AD360" s="11"/>
    </row>
    <row r="361" spans="1:30" hidden="1" outlineLevel="1" x14ac:dyDescent="0.35">
      <c r="A361" s="75" t="str">
        <f t="shared" si="113"/>
        <v>No</v>
      </c>
      <c r="B361" s="75">
        <f t="shared" si="128"/>
        <v>12</v>
      </c>
      <c r="C361" s="76">
        <f t="shared" si="114"/>
        <v>0</v>
      </c>
      <c r="D361" s="77">
        <f t="shared" si="115"/>
        <v>43845</v>
      </c>
      <c r="E361" s="77" t="str">
        <f t="shared" si="119"/>
        <v>No</v>
      </c>
      <c r="F361" s="75">
        <f t="shared" si="120"/>
        <v>4</v>
      </c>
      <c r="G361" s="78">
        <f t="shared" si="121"/>
        <v>0</v>
      </c>
      <c r="H361" s="77">
        <f t="shared" si="129"/>
        <v>43845</v>
      </c>
      <c r="I361" s="77" t="str">
        <f t="shared" si="122"/>
        <v>No</v>
      </c>
      <c r="J361" s="75">
        <f t="shared" si="123"/>
        <v>1</v>
      </c>
      <c r="K361" s="78">
        <f t="shared" si="130"/>
        <v>0</v>
      </c>
      <c r="L361" s="12">
        <v>43821</v>
      </c>
      <c r="M361" s="57">
        <f t="shared" si="124"/>
        <v>25100000</v>
      </c>
      <c r="Q361" s="10">
        <f t="shared" si="112"/>
        <v>0.13</v>
      </c>
      <c r="R361" s="10">
        <f t="shared" si="111"/>
        <v>0</v>
      </c>
      <c r="S361" s="60">
        <f t="shared" si="125"/>
        <v>0.13</v>
      </c>
      <c r="T361" s="57">
        <f t="shared" si="126"/>
        <v>9063.8888888888887</v>
      </c>
      <c r="U361" s="57">
        <f t="shared" si="116"/>
        <v>3203025.0033333572</v>
      </c>
      <c r="V361" s="67">
        <f t="shared" si="117"/>
        <v>0</v>
      </c>
      <c r="Y361" s="97">
        <f t="shared" si="131"/>
        <v>0.13</v>
      </c>
      <c r="Z361" s="57">
        <f t="shared" si="118"/>
        <v>9063.8888888888887</v>
      </c>
      <c r="AA361" s="57">
        <f t="shared" si="127"/>
        <v>3110716.6666666889</v>
      </c>
      <c r="AD361" s="11"/>
    </row>
    <row r="362" spans="1:30" hidden="1" outlineLevel="1" x14ac:dyDescent="0.35">
      <c r="A362" s="75" t="str">
        <f t="shared" si="113"/>
        <v>No</v>
      </c>
      <c r="B362" s="75">
        <f t="shared" si="128"/>
        <v>12</v>
      </c>
      <c r="C362" s="76">
        <f t="shared" si="114"/>
        <v>0</v>
      </c>
      <c r="D362" s="77">
        <f t="shared" si="115"/>
        <v>43845</v>
      </c>
      <c r="E362" s="77" t="str">
        <f t="shared" si="119"/>
        <v>No</v>
      </c>
      <c r="F362" s="75">
        <f t="shared" si="120"/>
        <v>4</v>
      </c>
      <c r="G362" s="78">
        <f t="shared" si="121"/>
        <v>0</v>
      </c>
      <c r="H362" s="77">
        <f t="shared" si="129"/>
        <v>43845</v>
      </c>
      <c r="I362" s="77" t="str">
        <f t="shared" si="122"/>
        <v>No</v>
      </c>
      <c r="J362" s="75">
        <f t="shared" si="123"/>
        <v>1</v>
      </c>
      <c r="K362" s="78">
        <f t="shared" si="130"/>
        <v>0</v>
      </c>
      <c r="L362" s="12">
        <v>43822</v>
      </c>
      <c r="M362" s="57">
        <f t="shared" si="124"/>
        <v>25100000</v>
      </c>
      <c r="Q362" s="10">
        <f t="shared" si="112"/>
        <v>0.13</v>
      </c>
      <c r="R362" s="10">
        <f t="shared" si="111"/>
        <v>0</v>
      </c>
      <c r="S362" s="60">
        <f t="shared" si="125"/>
        <v>0.13</v>
      </c>
      <c r="T362" s="57">
        <f t="shared" si="126"/>
        <v>9063.8888888888887</v>
      </c>
      <c r="U362" s="57">
        <f t="shared" si="116"/>
        <v>3212088.8922222462</v>
      </c>
      <c r="V362" s="67">
        <f t="shared" si="117"/>
        <v>0</v>
      </c>
      <c r="Y362" s="97">
        <f t="shared" si="131"/>
        <v>0.13</v>
      </c>
      <c r="Z362" s="57">
        <f t="shared" si="118"/>
        <v>9063.8888888888887</v>
      </c>
      <c r="AA362" s="57">
        <f t="shared" si="127"/>
        <v>3119780.5555555779</v>
      </c>
      <c r="AD362" s="11"/>
    </row>
    <row r="363" spans="1:30" hidden="1" outlineLevel="1" x14ac:dyDescent="0.35">
      <c r="A363" s="75" t="str">
        <f t="shared" si="113"/>
        <v>No</v>
      </c>
      <c r="B363" s="75">
        <f t="shared" si="128"/>
        <v>12</v>
      </c>
      <c r="C363" s="76">
        <f t="shared" si="114"/>
        <v>0</v>
      </c>
      <c r="D363" s="77">
        <f t="shared" si="115"/>
        <v>43845</v>
      </c>
      <c r="E363" s="77" t="str">
        <f t="shared" si="119"/>
        <v>No</v>
      </c>
      <c r="F363" s="75">
        <f t="shared" si="120"/>
        <v>4</v>
      </c>
      <c r="G363" s="78">
        <f t="shared" si="121"/>
        <v>0</v>
      </c>
      <c r="H363" s="77">
        <f t="shared" si="129"/>
        <v>43845</v>
      </c>
      <c r="I363" s="77" t="str">
        <f t="shared" si="122"/>
        <v>No</v>
      </c>
      <c r="J363" s="75">
        <f t="shared" si="123"/>
        <v>1</v>
      </c>
      <c r="K363" s="78">
        <f t="shared" si="130"/>
        <v>0</v>
      </c>
      <c r="L363" s="12">
        <v>43823</v>
      </c>
      <c r="M363" s="57">
        <f t="shared" si="124"/>
        <v>25100000</v>
      </c>
      <c r="Q363" s="10">
        <f t="shared" si="112"/>
        <v>0.13</v>
      </c>
      <c r="R363" s="10">
        <f t="shared" si="111"/>
        <v>0</v>
      </c>
      <c r="S363" s="60">
        <f t="shared" si="125"/>
        <v>0.13</v>
      </c>
      <c r="T363" s="57">
        <f t="shared" si="126"/>
        <v>9063.8888888888887</v>
      </c>
      <c r="U363" s="57">
        <f t="shared" si="116"/>
        <v>3221152.7811111351</v>
      </c>
      <c r="V363" s="67">
        <f t="shared" si="117"/>
        <v>0</v>
      </c>
      <c r="Y363" s="97">
        <f t="shared" si="131"/>
        <v>0.13</v>
      </c>
      <c r="Z363" s="57">
        <f t="shared" si="118"/>
        <v>9063.8888888888887</v>
      </c>
      <c r="AA363" s="57">
        <f t="shared" si="127"/>
        <v>3128844.4444444668</v>
      </c>
      <c r="AD363" s="11"/>
    </row>
    <row r="364" spans="1:30" hidden="1" outlineLevel="1" x14ac:dyDescent="0.35">
      <c r="A364" s="75" t="str">
        <f t="shared" si="113"/>
        <v>No</v>
      </c>
      <c r="B364" s="75">
        <f t="shared" si="128"/>
        <v>12</v>
      </c>
      <c r="C364" s="76">
        <f t="shared" si="114"/>
        <v>0</v>
      </c>
      <c r="D364" s="77">
        <f t="shared" si="115"/>
        <v>43845</v>
      </c>
      <c r="E364" s="77" t="str">
        <f t="shared" si="119"/>
        <v>No</v>
      </c>
      <c r="F364" s="75">
        <f t="shared" si="120"/>
        <v>4</v>
      </c>
      <c r="G364" s="78">
        <f t="shared" si="121"/>
        <v>0</v>
      </c>
      <c r="H364" s="77">
        <f t="shared" si="129"/>
        <v>43845</v>
      </c>
      <c r="I364" s="77" t="str">
        <f t="shared" si="122"/>
        <v>No</v>
      </c>
      <c r="J364" s="75">
        <f t="shared" si="123"/>
        <v>1</v>
      </c>
      <c r="K364" s="78">
        <f t="shared" si="130"/>
        <v>0</v>
      </c>
      <c r="L364" s="12">
        <v>43824</v>
      </c>
      <c r="M364" s="57">
        <f t="shared" si="124"/>
        <v>25100000</v>
      </c>
      <c r="Q364" s="10">
        <f t="shared" si="112"/>
        <v>0.13</v>
      </c>
      <c r="R364" s="10">
        <f t="shared" si="111"/>
        <v>0</v>
      </c>
      <c r="S364" s="60">
        <f t="shared" si="125"/>
        <v>0.13</v>
      </c>
      <c r="T364" s="57">
        <f t="shared" si="126"/>
        <v>9063.8888888888887</v>
      </c>
      <c r="U364" s="57">
        <f t="shared" si="116"/>
        <v>3230216.6700000241</v>
      </c>
      <c r="V364" s="67">
        <f t="shared" si="117"/>
        <v>0</v>
      </c>
      <c r="Y364" s="97">
        <f t="shared" si="131"/>
        <v>0.13</v>
      </c>
      <c r="Z364" s="57">
        <f t="shared" si="118"/>
        <v>9063.8888888888887</v>
      </c>
      <c r="AA364" s="57">
        <f t="shared" si="127"/>
        <v>3137908.3333333558</v>
      </c>
      <c r="AD364" s="11"/>
    </row>
    <row r="365" spans="1:30" hidden="1" outlineLevel="1" x14ac:dyDescent="0.35">
      <c r="A365" s="75" t="str">
        <f t="shared" si="113"/>
        <v>No</v>
      </c>
      <c r="B365" s="75">
        <f t="shared" si="128"/>
        <v>12</v>
      </c>
      <c r="C365" s="76">
        <f t="shared" si="114"/>
        <v>0</v>
      </c>
      <c r="D365" s="77">
        <f t="shared" si="115"/>
        <v>43845</v>
      </c>
      <c r="E365" s="77" t="str">
        <f t="shared" si="119"/>
        <v>No</v>
      </c>
      <c r="F365" s="75">
        <f t="shared" si="120"/>
        <v>4</v>
      </c>
      <c r="G365" s="78">
        <f t="shared" si="121"/>
        <v>0</v>
      </c>
      <c r="H365" s="77">
        <f t="shared" si="129"/>
        <v>43845</v>
      </c>
      <c r="I365" s="77" t="str">
        <f t="shared" si="122"/>
        <v>No</v>
      </c>
      <c r="J365" s="75">
        <f t="shared" si="123"/>
        <v>1</v>
      </c>
      <c r="K365" s="78">
        <f t="shared" si="130"/>
        <v>0</v>
      </c>
      <c r="L365" s="12">
        <v>43825</v>
      </c>
      <c r="M365" s="57">
        <f t="shared" si="124"/>
        <v>25100000</v>
      </c>
      <c r="Q365" s="10">
        <f t="shared" si="112"/>
        <v>0.13</v>
      </c>
      <c r="R365" s="10">
        <f t="shared" si="111"/>
        <v>0</v>
      </c>
      <c r="S365" s="60">
        <f t="shared" si="125"/>
        <v>0.13</v>
      </c>
      <c r="T365" s="57">
        <f t="shared" si="126"/>
        <v>9063.8888888888887</v>
      </c>
      <c r="U365" s="57">
        <f t="shared" si="116"/>
        <v>3239280.5588889131</v>
      </c>
      <c r="V365" s="67">
        <f t="shared" si="117"/>
        <v>0</v>
      </c>
      <c r="Y365" s="97">
        <f t="shared" si="131"/>
        <v>0.13</v>
      </c>
      <c r="Z365" s="57">
        <f t="shared" si="118"/>
        <v>9063.8888888888887</v>
      </c>
      <c r="AA365" s="57">
        <f t="shared" si="127"/>
        <v>3146972.2222222448</v>
      </c>
      <c r="AD365" s="11"/>
    </row>
    <row r="366" spans="1:30" hidden="1" outlineLevel="1" x14ac:dyDescent="0.35">
      <c r="A366" s="75" t="str">
        <f t="shared" si="113"/>
        <v>No</v>
      </c>
      <c r="B366" s="75">
        <f t="shared" si="128"/>
        <v>12</v>
      </c>
      <c r="C366" s="76">
        <f t="shared" si="114"/>
        <v>0</v>
      </c>
      <c r="D366" s="77">
        <f t="shared" si="115"/>
        <v>43845</v>
      </c>
      <c r="E366" s="77" t="str">
        <f t="shared" si="119"/>
        <v>No</v>
      </c>
      <c r="F366" s="75">
        <f t="shared" si="120"/>
        <v>4</v>
      </c>
      <c r="G366" s="78">
        <f t="shared" si="121"/>
        <v>0</v>
      </c>
      <c r="H366" s="77">
        <f t="shared" si="129"/>
        <v>43845</v>
      </c>
      <c r="I366" s="77" t="str">
        <f t="shared" si="122"/>
        <v>No</v>
      </c>
      <c r="J366" s="75">
        <f t="shared" si="123"/>
        <v>1</v>
      </c>
      <c r="K366" s="78">
        <f t="shared" si="130"/>
        <v>0</v>
      </c>
      <c r="L366" s="12">
        <v>43826</v>
      </c>
      <c r="M366" s="57">
        <f t="shared" si="124"/>
        <v>25100000</v>
      </c>
      <c r="Q366" s="10">
        <f t="shared" si="112"/>
        <v>0.13</v>
      </c>
      <c r="R366" s="10">
        <f t="shared" si="111"/>
        <v>0</v>
      </c>
      <c r="S366" s="60">
        <f t="shared" si="125"/>
        <v>0.13</v>
      </c>
      <c r="T366" s="57">
        <f t="shared" si="126"/>
        <v>9063.8888888888887</v>
      </c>
      <c r="U366" s="57">
        <f t="shared" si="116"/>
        <v>3248344.4477778021</v>
      </c>
      <c r="V366" s="67">
        <f t="shared" si="117"/>
        <v>0</v>
      </c>
      <c r="Y366" s="97">
        <f t="shared" si="131"/>
        <v>0.13</v>
      </c>
      <c r="Z366" s="57">
        <f t="shared" si="118"/>
        <v>9063.8888888888887</v>
      </c>
      <c r="AA366" s="57">
        <f t="shared" si="127"/>
        <v>3156036.1111111338</v>
      </c>
      <c r="AD366" s="11"/>
    </row>
    <row r="367" spans="1:30" hidden="1" outlineLevel="1" x14ac:dyDescent="0.35">
      <c r="A367" s="75" t="str">
        <f t="shared" si="113"/>
        <v>No</v>
      </c>
      <c r="B367" s="75">
        <f t="shared" si="128"/>
        <v>12</v>
      </c>
      <c r="C367" s="76">
        <f t="shared" si="114"/>
        <v>0</v>
      </c>
      <c r="D367" s="77">
        <f t="shared" si="115"/>
        <v>43845</v>
      </c>
      <c r="E367" s="77" t="str">
        <f t="shared" si="119"/>
        <v>No</v>
      </c>
      <c r="F367" s="75">
        <f t="shared" si="120"/>
        <v>4</v>
      </c>
      <c r="G367" s="78">
        <f t="shared" si="121"/>
        <v>0</v>
      </c>
      <c r="H367" s="77">
        <f t="shared" si="129"/>
        <v>43845</v>
      </c>
      <c r="I367" s="77" t="str">
        <f t="shared" si="122"/>
        <v>No</v>
      </c>
      <c r="J367" s="75">
        <f t="shared" si="123"/>
        <v>1</v>
      </c>
      <c r="K367" s="78">
        <f t="shared" si="130"/>
        <v>0</v>
      </c>
      <c r="L367" s="12">
        <v>43827</v>
      </c>
      <c r="M367" s="57">
        <f t="shared" si="124"/>
        <v>25100000</v>
      </c>
      <c r="Q367" s="10">
        <f t="shared" si="112"/>
        <v>0.13</v>
      </c>
      <c r="R367" s="10">
        <f t="shared" si="111"/>
        <v>0</v>
      </c>
      <c r="S367" s="60">
        <f t="shared" si="125"/>
        <v>0.13</v>
      </c>
      <c r="T367" s="57">
        <f t="shared" si="126"/>
        <v>9063.8888888888887</v>
      </c>
      <c r="U367" s="57">
        <f t="shared" si="116"/>
        <v>3257408.3366666911</v>
      </c>
      <c r="V367" s="67">
        <f t="shared" si="117"/>
        <v>0</v>
      </c>
      <c r="Y367" s="97">
        <f t="shared" si="131"/>
        <v>0.13</v>
      </c>
      <c r="Z367" s="57">
        <f t="shared" si="118"/>
        <v>9063.8888888888887</v>
      </c>
      <c r="AA367" s="57">
        <f t="shared" si="127"/>
        <v>3165100.0000000228</v>
      </c>
      <c r="AD367" s="11"/>
    </row>
    <row r="368" spans="1:30" hidden="1" outlineLevel="1" x14ac:dyDescent="0.35">
      <c r="A368" s="75" t="str">
        <f t="shared" si="113"/>
        <v>No</v>
      </c>
      <c r="B368" s="75">
        <f t="shared" si="128"/>
        <v>12</v>
      </c>
      <c r="C368" s="76">
        <f t="shared" si="114"/>
        <v>0</v>
      </c>
      <c r="D368" s="77">
        <f t="shared" si="115"/>
        <v>43845</v>
      </c>
      <c r="E368" s="77" t="str">
        <f t="shared" si="119"/>
        <v>No</v>
      </c>
      <c r="F368" s="75">
        <f t="shared" si="120"/>
        <v>4</v>
      </c>
      <c r="G368" s="78">
        <f t="shared" si="121"/>
        <v>0</v>
      </c>
      <c r="H368" s="77">
        <f t="shared" si="129"/>
        <v>43845</v>
      </c>
      <c r="I368" s="77" t="str">
        <f t="shared" si="122"/>
        <v>No</v>
      </c>
      <c r="J368" s="75">
        <f t="shared" si="123"/>
        <v>1</v>
      </c>
      <c r="K368" s="78">
        <f t="shared" si="130"/>
        <v>0</v>
      </c>
      <c r="L368" s="12">
        <v>43828</v>
      </c>
      <c r="M368" s="57">
        <f t="shared" si="124"/>
        <v>25100000</v>
      </c>
      <c r="Q368" s="10">
        <f t="shared" si="112"/>
        <v>0.13</v>
      </c>
      <c r="R368" s="10">
        <f t="shared" si="111"/>
        <v>0</v>
      </c>
      <c r="S368" s="60">
        <f t="shared" si="125"/>
        <v>0.13</v>
      </c>
      <c r="T368" s="57">
        <f t="shared" si="126"/>
        <v>9063.8888888888887</v>
      </c>
      <c r="U368" s="57">
        <f t="shared" si="116"/>
        <v>3266472.2255555801</v>
      </c>
      <c r="V368" s="67">
        <f t="shared" si="117"/>
        <v>0</v>
      </c>
      <c r="Y368" s="97">
        <f t="shared" si="131"/>
        <v>0.13</v>
      </c>
      <c r="Z368" s="57">
        <f t="shared" si="118"/>
        <v>9063.8888888888887</v>
      </c>
      <c r="AA368" s="57">
        <f t="shared" si="127"/>
        <v>3174163.8888889118</v>
      </c>
      <c r="AD368" s="11"/>
    </row>
    <row r="369" spans="1:30" hidden="1" outlineLevel="1" x14ac:dyDescent="0.35">
      <c r="A369" s="75" t="str">
        <f t="shared" si="113"/>
        <v>No</v>
      </c>
      <c r="B369" s="75">
        <f t="shared" si="128"/>
        <v>12</v>
      </c>
      <c r="C369" s="76">
        <f t="shared" si="114"/>
        <v>0</v>
      </c>
      <c r="D369" s="77">
        <f t="shared" si="115"/>
        <v>43845</v>
      </c>
      <c r="E369" s="77" t="str">
        <f t="shared" si="119"/>
        <v>No</v>
      </c>
      <c r="F369" s="75">
        <f t="shared" si="120"/>
        <v>4</v>
      </c>
      <c r="G369" s="78">
        <f t="shared" si="121"/>
        <v>0</v>
      </c>
      <c r="H369" s="77">
        <f t="shared" si="129"/>
        <v>43845</v>
      </c>
      <c r="I369" s="77" t="str">
        <f t="shared" si="122"/>
        <v>No</v>
      </c>
      <c r="J369" s="75">
        <f t="shared" si="123"/>
        <v>1</v>
      </c>
      <c r="K369" s="78">
        <f t="shared" si="130"/>
        <v>0</v>
      </c>
      <c r="L369" s="12">
        <v>43829</v>
      </c>
      <c r="M369" s="57">
        <f t="shared" si="124"/>
        <v>25100000</v>
      </c>
      <c r="Q369" s="10">
        <f t="shared" si="112"/>
        <v>0.13</v>
      </c>
      <c r="R369" s="10">
        <f t="shared" si="111"/>
        <v>0</v>
      </c>
      <c r="S369" s="60">
        <f t="shared" si="125"/>
        <v>0.13</v>
      </c>
      <c r="T369" s="57">
        <f t="shared" si="126"/>
        <v>9063.8888888888887</v>
      </c>
      <c r="U369" s="57">
        <f t="shared" si="116"/>
        <v>3275536.1144444691</v>
      </c>
      <c r="V369" s="67">
        <f t="shared" si="117"/>
        <v>0</v>
      </c>
      <c r="Y369" s="97">
        <f t="shared" si="131"/>
        <v>0.13</v>
      </c>
      <c r="Z369" s="57">
        <f t="shared" si="118"/>
        <v>9063.8888888888887</v>
      </c>
      <c r="AA369" s="57">
        <f t="shared" si="127"/>
        <v>3183227.7777778008</v>
      </c>
      <c r="AD369" s="11"/>
    </row>
    <row r="370" spans="1:30" hidden="1" outlineLevel="1" x14ac:dyDescent="0.35">
      <c r="A370" s="75" t="str">
        <f t="shared" si="113"/>
        <v>No</v>
      </c>
      <c r="B370" s="75">
        <f t="shared" si="128"/>
        <v>12</v>
      </c>
      <c r="C370" s="76">
        <f t="shared" si="114"/>
        <v>0</v>
      </c>
      <c r="D370" s="77">
        <f t="shared" si="115"/>
        <v>43845</v>
      </c>
      <c r="E370" s="77" t="str">
        <f t="shared" si="119"/>
        <v>No</v>
      </c>
      <c r="F370" s="75">
        <f t="shared" si="120"/>
        <v>4</v>
      </c>
      <c r="G370" s="78">
        <f t="shared" si="121"/>
        <v>0</v>
      </c>
      <c r="H370" s="77">
        <f t="shared" si="129"/>
        <v>43845</v>
      </c>
      <c r="I370" s="77" t="str">
        <f t="shared" si="122"/>
        <v>No</v>
      </c>
      <c r="J370" s="75">
        <f t="shared" si="123"/>
        <v>1</v>
      </c>
      <c r="K370" s="78">
        <f t="shared" si="130"/>
        <v>0</v>
      </c>
      <c r="L370" s="12">
        <v>43830</v>
      </c>
      <c r="M370" s="57">
        <f t="shared" si="124"/>
        <v>25100000</v>
      </c>
      <c r="Q370" s="10">
        <f t="shared" si="112"/>
        <v>0.13</v>
      </c>
      <c r="R370" s="10">
        <f t="shared" si="111"/>
        <v>0</v>
      </c>
      <c r="S370" s="60">
        <f t="shared" si="125"/>
        <v>0.13</v>
      </c>
      <c r="T370" s="57">
        <f t="shared" si="126"/>
        <v>9063.8888888888887</v>
      </c>
      <c r="U370" s="57">
        <f t="shared" si="116"/>
        <v>3284600.0033333581</v>
      </c>
      <c r="V370" s="67">
        <f t="shared" si="117"/>
        <v>0</v>
      </c>
      <c r="Y370" s="97">
        <f t="shared" si="131"/>
        <v>0.13</v>
      </c>
      <c r="Z370" s="57">
        <f t="shared" si="118"/>
        <v>9063.8888888888887</v>
      </c>
      <c r="AA370" s="57">
        <f t="shared" si="127"/>
        <v>3192291.6666666898</v>
      </c>
      <c r="AD370" s="11"/>
    </row>
    <row r="371" spans="1:30" collapsed="1" x14ac:dyDescent="0.35">
      <c r="A371" s="75" t="str">
        <f t="shared" si="113"/>
        <v>No</v>
      </c>
      <c r="B371" s="75">
        <f t="shared" si="128"/>
        <v>12</v>
      </c>
      <c r="C371" s="76">
        <f t="shared" si="114"/>
        <v>0</v>
      </c>
      <c r="D371" s="77">
        <f t="shared" si="115"/>
        <v>43845</v>
      </c>
      <c r="E371" s="77" t="str">
        <f t="shared" si="119"/>
        <v>No</v>
      </c>
      <c r="F371" s="75">
        <f t="shared" si="120"/>
        <v>4</v>
      </c>
      <c r="G371" s="78">
        <f t="shared" si="121"/>
        <v>0</v>
      </c>
      <c r="H371" s="77">
        <f t="shared" si="129"/>
        <v>43845</v>
      </c>
      <c r="I371" s="77" t="str">
        <f t="shared" si="122"/>
        <v>No</v>
      </c>
      <c r="J371" s="75">
        <f t="shared" si="123"/>
        <v>1</v>
      </c>
      <c r="K371" s="78">
        <f t="shared" si="130"/>
        <v>0</v>
      </c>
      <c r="L371" s="61">
        <v>43831</v>
      </c>
      <c r="M371" s="62">
        <f t="shared" si="124"/>
        <v>25100000</v>
      </c>
      <c r="N371" s="62"/>
      <c r="O371" s="62"/>
      <c r="P371" s="62"/>
      <c r="Q371" s="63">
        <f t="shared" si="112"/>
        <v>0.13</v>
      </c>
      <c r="R371" s="63">
        <f t="shared" si="111"/>
        <v>0</v>
      </c>
      <c r="S371" s="63">
        <f t="shared" si="125"/>
        <v>0.13</v>
      </c>
      <c r="T371" s="62">
        <f>M371*S371*(1/360)</f>
        <v>9063.8888888888887</v>
      </c>
      <c r="U371" s="62">
        <f t="shared" si="116"/>
        <v>3293663.8922222471</v>
      </c>
      <c r="V371" s="67">
        <f t="shared" si="117"/>
        <v>0</v>
      </c>
      <c r="W371" s="64"/>
      <c r="X371" s="62"/>
      <c r="Y371" s="98">
        <f t="shared" si="131"/>
        <v>0.13</v>
      </c>
      <c r="Z371" s="62">
        <f t="shared" si="118"/>
        <v>9063.8888888888887</v>
      </c>
      <c r="AA371" s="62">
        <f t="shared" si="127"/>
        <v>3201355.5555555788</v>
      </c>
      <c r="AB371" s="64"/>
      <c r="AC371" s="62"/>
      <c r="AD371" s="11"/>
    </row>
    <row r="372" spans="1:30" x14ac:dyDescent="0.35">
      <c r="A372" s="75" t="str">
        <f t="shared" si="113"/>
        <v>No</v>
      </c>
      <c r="B372" s="75">
        <f t="shared" si="128"/>
        <v>12</v>
      </c>
      <c r="C372" s="76">
        <f t="shared" si="114"/>
        <v>0</v>
      </c>
      <c r="D372" s="77">
        <f t="shared" si="115"/>
        <v>43845</v>
      </c>
      <c r="E372" s="77" t="str">
        <f t="shared" si="119"/>
        <v>No</v>
      </c>
      <c r="F372" s="75">
        <f t="shared" si="120"/>
        <v>4</v>
      </c>
      <c r="G372" s="78">
        <f t="shared" si="121"/>
        <v>0</v>
      </c>
      <c r="H372" s="77">
        <f t="shared" si="129"/>
        <v>43845</v>
      </c>
      <c r="I372" s="77" t="str">
        <f t="shared" si="122"/>
        <v>No</v>
      </c>
      <c r="J372" s="75">
        <f t="shared" si="123"/>
        <v>1</v>
      </c>
      <c r="K372" s="78">
        <f t="shared" si="130"/>
        <v>0</v>
      </c>
      <c r="L372" s="61">
        <v>43832</v>
      </c>
      <c r="M372" s="62">
        <f t="shared" si="124"/>
        <v>25100000</v>
      </c>
      <c r="N372" s="62"/>
      <c r="O372" s="62"/>
      <c r="P372" s="62"/>
      <c r="Q372" s="63">
        <f t="shared" si="112"/>
        <v>0.13</v>
      </c>
      <c r="R372" s="63">
        <f t="shared" si="111"/>
        <v>0</v>
      </c>
      <c r="S372" s="63">
        <f t="shared" si="125"/>
        <v>0.13</v>
      </c>
      <c r="T372" s="62">
        <f t="shared" si="126"/>
        <v>9063.8888888888887</v>
      </c>
      <c r="U372" s="62">
        <f t="shared" si="116"/>
        <v>3302727.7811111361</v>
      </c>
      <c r="V372" s="67">
        <f t="shared" si="117"/>
        <v>0</v>
      </c>
      <c r="W372" s="64">
        <v>100000</v>
      </c>
      <c r="X372" s="62"/>
      <c r="Y372" s="98">
        <f t="shared" si="131"/>
        <v>0.13</v>
      </c>
      <c r="Z372" s="62">
        <f t="shared" si="118"/>
        <v>9063.8888888888887</v>
      </c>
      <c r="AA372" s="62">
        <f t="shared" si="127"/>
        <v>3210419.4444444678</v>
      </c>
      <c r="AB372" s="64"/>
      <c r="AC372" s="62"/>
      <c r="AD372" s="11"/>
    </row>
    <row r="373" spans="1:30" x14ac:dyDescent="0.35">
      <c r="A373" s="75" t="str">
        <f t="shared" si="113"/>
        <v>No</v>
      </c>
      <c r="B373" s="75">
        <f t="shared" si="128"/>
        <v>12</v>
      </c>
      <c r="C373" s="76">
        <f t="shared" si="114"/>
        <v>0</v>
      </c>
      <c r="D373" s="77">
        <f t="shared" si="115"/>
        <v>43845</v>
      </c>
      <c r="E373" s="77" t="str">
        <f t="shared" si="119"/>
        <v>No</v>
      </c>
      <c r="F373" s="75">
        <f t="shared" si="120"/>
        <v>4</v>
      </c>
      <c r="G373" s="78">
        <f t="shared" si="121"/>
        <v>0</v>
      </c>
      <c r="H373" s="77">
        <f t="shared" si="129"/>
        <v>43845</v>
      </c>
      <c r="I373" s="77" t="str">
        <f t="shared" si="122"/>
        <v>No</v>
      </c>
      <c r="J373" s="75">
        <f t="shared" si="123"/>
        <v>1</v>
      </c>
      <c r="K373" s="78">
        <f t="shared" si="130"/>
        <v>0</v>
      </c>
      <c r="L373" s="61">
        <v>43833</v>
      </c>
      <c r="M373" s="62">
        <f t="shared" si="124"/>
        <v>25100000</v>
      </c>
      <c r="N373" s="62"/>
      <c r="O373" s="62"/>
      <c r="P373" s="62"/>
      <c r="Q373" s="63">
        <f t="shared" si="112"/>
        <v>0.13</v>
      </c>
      <c r="R373" s="63">
        <f t="shared" si="111"/>
        <v>0</v>
      </c>
      <c r="S373" s="63">
        <f t="shared" si="125"/>
        <v>0.13</v>
      </c>
      <c r="T373" s="62">
        <f t="shared" si="126"/>
        <v>9063.8888888888887</v>
      </c>
      <c r="U373" s="62">
        <f t="shared" si="116"/>
        <v>3411791.6700000251</v>
      </c>
      <c r="V373" s="67">
        <f t="shared" si="117"/>
        <v>0</v>
      </c>
      <c r="W373" s="64">
        <v>-20000</v>
      </c>
      <c r="X373" s="62"/>
      <c r="Y373" s="98">
        <f t="shared" si="131"/>
        <v>0.13</v>
      </c>
      <c r="Z373" s="62">
        <f t="shared" si="118"/>
        <v>9063.8888888888887</v>
      </c>
      <c r="AA373" s="62">
        <f t="shared" si="127"/>
        <v>3219483.3333333568</v>
      </c>
      <c r="AB373" s="64"/>
      <c r="AC373" s="62"/>
      <c r="AD373" s="11"/>
    </row>
    <row r="374" spans="1:30" x14ac:dyDescent="0.35">
      <c r="A374" s="75" t="str">
        <f t="shared" si="113"/>
        <v>No</v>
      </c>
      <c r="B374" s="75">
        <f t="shared" si="128"/>
        <v>12</v>
      </c>
      <c r="C374" s="76">
        <f t="shared" si="114"/>
        <v>0</v>
      </c>
      <c r="D374" s="77">
        <f t="shared" si="115"/>
        <v>43845</v>
      </c>
      <c r="E374" s="77" t="str">
        <f t="shared" si="119"/>
        <v>No</v>
      </c>
      <c r="F374" s="75">
        <f t="shared" si="120"/>
        <v>4</v>
      </c>
      <c r="G374" s="78">
        <f t="shared" si="121"/>
        <v>0</v>
      </c>
      <c r="H374" s="77">
        <f t="shared" si="129"/>
        <v>43845</v>
      </c>
      <c r="I374" s="77" t="str">
        <f t="shared" si="122"/>
        <v>No</v>
      </c>
      <c r="J374" s="75">
        <f t="shared" si="123"/>
        <v>1</v>
      </c>
      <c r="K374" s="78">
        <f t="shared" si="130"/>
        <v>0</v>
      </c>
      <c r="L374" s="61">
        <v>43834</v>
      </c>
      <c r="M374" s="62">
        <f t="shared" si="124"/>
        <v>25100000</v>
      </c>
      <c r="N374" s="62"/>
      <c r="O374" s="62"/>
      <c r="P374" s="62"/>
      <c r="Q374" s="63">
        <f t="shared" si="112"/>
        <v>0.13</v>
      </c>
      <c r="R374" s="63">
        <f t="shared" si="111"/>
        <v>0</v>
      </c>
      <c r="S374" s="63">
        <f t="shared" si="125"/>
        <v>0.13</v>
      </c>
      <c r="T374" s="62">
        <f t="shared" si="126"/>
        <v>9063.8888888888887</v>
      </c>
      <c r="U374" s="62">
        <f t="shared" si="116"/>
        <v>3400855.5588889141</v>
      </c>
      <c r="V374" s="67">
        <f t="shared" si="117"/>
        <v>0</v>
      </c>
      <c r="W374" s="64"/>
      <c r="X374" s="62"/>
      <c r="Y374" s="98">
        <f t="shared" si="131"/>
        <v>0.13</v>
      </c>
      <c r="Z374" s="62">
        <f t="shared" si="118"/>
        <v>9063.8888888888887</v>
      </c>
      <c r="AA374" s="62">
        <f t="shared" si="127"/>
        <v>3228547.2222222458</v>
      </c>
      <c r="AB374" s="64"/>
      <c r="AC374" s="62"/>
      <c r="AD374" s="11"/>
    </row>
    <row r="375" spans="1:30" x14ac:dyDescent="0.35">
      <c r="A375" s="75" t="str">
        <f t="shared" si="113"/>
        <v>No</v>
      </c>
      <c r="B375" s="75">
        <f t="shared" si="128"/>
        <v>12</v>
      </c>
      <c r="C375" s="76">
        <f t="shared" si="114"/>
        <v>0</v>
      </c>
      <c r="D375" s="77">
        <f t="shared" si="115"/>
        <v>43845</v>
      </c>
      <c r="E375" s="77" t="str">
        <f t="shared" si="119"/>
        <v>No</v>
      </c>
      <c r="F375" s="75">
        <f t="shared" si="120"/>
        <v>4</v>
      </c>
      <c r="G375" s="78">
        <f t="shared" si="121"/>
        <v>0</v>
      </c>
      <c r="H375" s="77">
        <f t="shared" si="129"/>
        <v>43845</v>
      </c>
      <c r="I375" s="77" t="str">
        <f t="shared" si="122"/>
        <v>No</v>
      </c>
      <c r="J375" s="75">
        <f t="shared" si="123"/>
        <v>1</v>
      </c>
      <c r="K375" s="78">
        <f t="shared" si="130"/>
        <v>0</v>
      </c>
      <c r="L375" s="61">
        <v>43835</v>
      </c>
      <c r="M375" s="62">
        <f t="shared" si="124"/>
        <v>25100000</v>
      </c>
      <c r="N375" s="62"/>
      <c r="O375" s="62"/>
      <c r="P375" s="62"/>
      <c r="Q375" s="63">
        <f t="shared" si="112"/>
        <v>0.13</v>
      </c>
      <c r="R375" s="63">
        <f t="shared" si="111"/>
        <v>0</v>
      </c>
      <c r="S375" s="63">
        <f t="shared" si="125"/>
        <v>0.13</v>
      </c>
      <c r="T375" s="62">
        <f t="shared" si="126"/>
        <v>9063.8888888888887</v>
      </c>
      <c r="U375" s="62">
        <f t="shared" si="116"/>
        <v>3409919.4477778031</v>
      </c>
      <c r="V375" s="67">
        <f t="shared" si="117"/>
        <v>0</v>
      </c>
      <c r="W375" s="64"/>
      <c r="X375" s="62"/>
      <c r="Y375" s="98">
        <f t="shared" si="131"/>
        <v>0.13</v>
      </c>
      <c r="Z375" s="62">
        <f t="shared" si="118"/>
        <v>9063.8888888888887</v>
      </c>
      <c r="AA375" s="62">
        <f t="shared" si="127"/>
        <v>3237611.1111111348</v>
      </c>
      <c r="AB375" s="64"/>
      <c r="AC375" s="62"/>
      <c r="AD375" s="11"/>
    </row>
    <row r="376" spans="1:30" x14ac:dyDescent="0.35">
      <c r="A376" s="75" t="str">
        <f t="shared" si="113"/>
        <v>No</v>
      </c>
      <c r="B376" s="75">
        <f t="shared" si="128"/>
        <v>12</v>
      </c>
      <c r="C376" s="76">
        <f t="shared" si="114"/>
        <v>0</v>
      </c>
      <c r="D376" s="77">
        <f t="shared" si="115"/>
        <v>43845</v>
      </c>
      <c r="E376" s="77" t="str">
        <f t="shared" si="119"/>
        <v>No</v>
      </c>
      <c r="F376" s="75">
        <f t="shared" si="120"/>
        <v>4</v>
      </c>
      <c r="G376" s="78">
        <f t="shared" si="121"/>
        <v>0</v>
      </c>
      <c r="H376" s="77">
        <f t="shared" si="129"/>
        <v>43845</v>
      </c>
      <c r="I376" s="77" t="str">
        <f t="shared" si="122"/>
        <v>No</v>
      </c>
      <c r="J376" s="75">
        <f t="shared" si="123"/>
        <v>1</v>
      </c>
      <c r="K376" s="78">
        <f t="shared" si="130"/>
        <v>0</v>
      </c>
      <c r="L376" s="61">
        <v>43836</v>
      </c>
      <c r="M376" s="62">
        <f t="shared" si="124"/>
        <v>25100000</v>
      </c>
      <c r="N376" s="62"/>
      <c r="O376" s="62"/>
      <c r="P376" s="62"/>
      <c r="Q376" s="63">
        <f t="shared" si="112"/>
        <v>0.13</v>
      </c>
      <c r="R376" s="63">
        <f t="shared" ref="R376:R435" si="132">R375</f>
        <v>0</v>
      </c>
      <c r="S376" s="63">
        <f t="shared" si="125"/>
        <v>0.13</v>
      </c>
      <c r="T376" s="62">
        <f t="shared" si="126"/>
        <v>9063.8888888888887</v>
      </c>
      <c r="U376" s="62">
        <f t="shared" si="116"/>
        <v>3418983.336666692</v>
      </c>
      <c r="V376" s="67">
        <f t="shared" si="117"/>
        <v>0</v>
      </c>
      <c r="W376" s="64"/>
      <c r="X376" s="62"/>
      <c r="Y376" s="98">
        <f t="shared" si="131"/>
        <v>0.13</v>
      </c>
      <c r="Z376" s="62">
        <f t="shared" si="118"/>
        <v>9063.8888888888887</v>
      </c>
      <c r="AA376" s="62">
        <f t="shared" si="127"/>
        <v>3246675.0000000237</v>
      </c>
      <c r="AB376" s="64">
        <v>1000000</v>
      </c>
      <c r="AC376" s="62"/>
      <c r="AD376" s="11"/>
    </row>
    <row r="377" spans="1:30" x14ac:dyDescent="0.35">
      <c r="A377" s="75" t="str">
        <f t="shared" si="113"/>
        <v>No</v>
      </c>
      <c r="B377" s="75">
        <f t="shared" si="128"/>
        <v>12</v>
      </c>
      <c r="C377" s="76">
        <f t="shared" si="114"/>
        <v>0</v>
      </c>
      <c r="D377" s="77">
        <f t="shared" si="115"/>
        <v>43845</v>
      </c>
      <c r="E377" s="77" t="str">
        <f t="shared" si="119"/>
        <v>No</v>
      </c>
      <c r="F377" s="75">
        <f t="shared" si="120"/>
        <v>4</v>
      </c>
      <c r="G377" s="78">
        <f t="shared" si="121"/>
        <v>0</v>
      </c>
      <c r="H377" s="77">
        <f t="shared" si="129"/>
        <v>43845</v>
      </c>
      <c r="I377" s="77" t="str">
        <f t="shared" si="122"/>
        <v>No</v>
      </c>
      <c r="J377" s="75">
        <f t="shared" si="123"/>
        <v>1</v>
      </c>
      <c r="K377" s="78">
        <f t="shared" si="130"/>
        <v>0</v>
      </c>
      <c r="L377" s="61">
        <v>43837</v>
      </c>
      <c r="M377" s="62">
        <f t="shared" si="124"/>
        <v>25100000</v>
      </c>
      <c r="N377" s="62"/>
      <c r="O377" s="62"/>
      <c r="P377" s="62"/>
      <c r="Q377" s="63">
        <f t="shared" si="112"/>
        <v>0.13</v>
      </c>
      <c r="R377" s="63">
        <f t="shared" si="132"/>
        <v>0</v>
      </c>
      <c r="S377" s="63">
        <f t="shared" si="125"/>
        <v>0.13</v>
      </c>
      <c r="T377" s="62">
        <f t="shared" si="126"/>
        <v>9063.8888888888887</v>
      </c>
      <c r="U377" s="62">
        <f t="shared" si="116"/>
        <v>3428047.225555581</v>
      </c>
      <c r="V377" s="67">
        <f t="shared" si="117"/>
        <v>0</v>
      </c>
      <c r="W377" s="64"/>
      <c r="X377" s="62"/>
      <c r="Y377" s="98">
        <f t="shared" si="131"/>
        <v>0.13</v>
      </c>
      <c r="Z377" s="62">
        <f t="shared" si="118"/>
        <v>9063.8888888888887</v>
      </c>
      <c r="AA377" s="62">
        <f t="shared" si="127"/>
        <v>4255738.8888889123</v>
      </c>
      <c r="AB377" s="64"/>
      <c r="AC377" s="62"/>
      <c r="AD377" s="11"/>
    </row>
    <row r="378" spans="1:30" x14ac:dyDescent="0.35">
      <c r="A378" s="75" t="str">
        <f t="shared" si="113"/>
        <v>No</v>
      </c>
      <c r="B378" s="75">
        <f t="shared" si="128"/>
        <v>12</v>
      </c>
      <c r="C378" s="76">
        <f t="shared" si="114"/>
        <v>0</v>
      </c>
      <c r="D378" s="77">
        <f t="shared" si="115"/>
        <v>43845</v>
      </c>
      <c r="E378" s="77" t="str">
        <f t="shared" si="119"/>
        <v>No</v>
      </c>
      <c r="F378" s="75">
        <f t="shared" si="120"/>
        <v>4</v>
      </c>
      <c r="G378" s="78">
        <f t="shared" si="121"/>
        <v>0</v>
      </c>
      <c r="H378" s="77">
        <f t="shared" si="129"/>
        <v>43845</v>
      </c>
      <c r="I378" s="77" t="str">
        <f t="shared" si="122"/>
        <v>No</v>
      </c>
      <c r="J378" s="75">
        <f t="shared" si="123"/>
        <v>1</v>
      </c>
      <c r="K378" s="78">
        <f t="shared" si="130"/>
        <v>0</v>
      </c>
      <c r="L378" s="61">
        <v>43838</v>
      </c>
      <c r="M378" s="62">
        <f t="shared" si="124"/>
        <v>25100000</v>
      </c>
      <c r="N378" s="62"/>
      <c r="O378" s="62"/>
      <c r="P378" s="62"/>
      <c r="Q378" s="63">
        <f t="shared" si="112"/>
        <v>0.13</v>
      </c>
      <c r="R378" s="63">
        <f t="shared" si="132"/>
        <v>0</v>
      </c>
      <c r="S378" s="63">
        <f t="shared" si="125"/>
        <v>0.13</v>
      </c>
      <c r="T378" s="62">
        <f t="shared" si="126"/>
        <v>9063.8888888888887</v>
      </c>
      <c r="U378" s="62">
        <f t="shared" si="116"/>
        <v>3437111.11444447</v>
      </c>
      <c r="V378" s="67">
        <f t="shared" si="117"/>
        <v>0</v>
      </c>
      <c r="W378" s="64"/>
      <c r="X378" s="62"/>
      <c r="Y378" s="98">
        <f t="shared" si="131"/>
        <v>0.13</v>
      </c>
      <c r="Z378" s="62">
        <f t="shared" si="118"/>
        <v>9063.8888888888887</v>
      </c>
      <c r="AA378" s="62">
        <f t="shared" si="127"/>
        <v>4264802.7777778013</v>
      </c>
      <c r="AB378" s="64"/>
      <c r="AC378" s="62"/>
      <c r="AD378" s="11"/>
    </row>
    <row r="379" spans="1:30" x14ac:dyDescent="0.35">
      <c r="A379" s="75" t="str">
        <f t="shared" si="113"/>
        <v>No</v>
      </c>
      <c r="B379" s="75">
        <f t="shared" si="128"/>
        <v>12</v>
      </c>
      <c r="C379" s="76">
        <f t="shared" si="114"/>
        <v>0</v>
      </c>
      <c r="D379" s="77">
        <f t="shared" si="115"/>
        <v>43845</v>
      </c>
      <c r="E379" s="77" t="str">
        <f t="shared" si="119"/>
        <v>No</v>
      </c>
      <c r="F379" s="75">
        <f t="shared" si="120"/>
        <v>4</v>
      </c>
      <c r="G379" s="78">
        <f t="shared" si="121"/>
        <v>0</v>
      </c>
      <c r="H379" s="77">
        <f t="shared" si="129"/>
        <v>43845</v>
      </c>
      <c r="I379" s="77" t="str">
        <f t="shared" si="122"/>
        <v>No</v>
      </c>
      <c r="J379" s="75">
        <f t="shared" si="123"/>
        <v>1</v>
      </c>
      <c r="K379" s="78">
        <f t="shared" si="130"/>
        <v>0</v>
      </c>
      <c r="L379" s="61">
        <v>43839</v>
      </c>
      <c r="M379" s="62">
        <f t="shared" si="124"/>
        <v>25100000</v>
      </c>
      <c r="N379" s="62"/>
      <c r="O379" s="62"/>
      <c r="P379" s="62"/>
      <c r="Q379" s="63">
        <f t="shared" si="112"/>
        <v>0.13</v>
      </c>
      <c r="R379" s="63">
        <f t="shared" si="132"/>
        <v>0</v>
      </c>
      <c r="S379" s="63">
        <f t="shared" si="125"/>
        <v>0.13</v>
      </c>
      <c r="T379" s="62">
        <f t="shared" si="126"/>
        <v>9063.8888888888887</v>
      </c>
      <c r="U379" s="62">
        <f t="shared" si="116"/>
        <v>3446175.003333359</v>
      </c>
      <c r="V379" s="67">
        <f t="shared" si="117"/>
        <v>0</v>
      </c>
      <c r="W379" s="64"/>
      <c r="X379" s="62"/>
      <c r="Y379" s="98">
        <f t="shared" si="131"/>
        <v>0.13</v>
      </c>
      <c r="Z379" s="62">
        <f t="shared" si="118"/>
        <v>9063.8888888888887</v>
      </c>
      <c r="AA379" s="62">
        <f t="shared" si="127"/>
        <v>4273866.6666666903</v>
      </c>
      <c r="AB379" s="64"/>
      <c r="AC379" s="62"/>
      <c r="AD379" s="11"/>
    </row>
    <row r="380" spans="1:30" x14ac:dyDescent="0.35">
      <c r="A380" s="75" t="str">
        <f t="shared" si="113"/>
        <v>No</v>
      </c>
      <c r="B380" s="75">
        <f t="shared" si="128"/>
        <v>12</v>
      </c>
      <c r="C380" s="76">
        <f t="shared" si="114"/>
        <v>0</v>
      </c>
      <c r="D380" s="77">
        <f t="shared" si="115"/>
        <v>43845</v>
      </c>
      <c r="E380" s="77" t="str">
        <f t="shared" si="119"/>
        <v>No</v>
      </c>
      <c r="F380" s="75">
        <f t="shared" si="120"/>
        <v>4</v>
      </c>
      <c r="G380" s="78">
        <f t="shared" si="121"/>
        <v>0</v>
      </c>
      <c r="H380" s="77">
        <f t="shared" si="129"/>
        <v>43845</v>
      </c>
      <c r="I380" s="77" t="str">
        <f t="shared" si="122"/>
        <v>No</v>
      </c>
      <c r="J380" s="75">
        <f t="shared" si="123"/>
        <v>1</v>
      </c>
      <c r="K380" s="78">
        <f t="shared" si="130"/>
        <v>0</v>
      </c>
      <c r="L380" s="61">
        <v>43840</v>
      </c>
      <c r="M380" s="62">
        <f t="shared" si="124"/>
        <v>25100000</v>
      </c>
      <c r="N380" s="62"/>
      <c r="O380" s="62"/>
      <c r="P380" s="62"/>
      <c r="Q380" s="63">
        <f t="shared" si="112"/>
        <v>0.13</v>
      </c>
      <c r="R380" s="63">
        <f t="shared" si="132"/>
        <v>0</v>
      </c>
      <c r="S380" s="63">
        <f t="shared" si="125"/>
        <v>0.13</v>
      </c>
      <c r="T380" s="62">
        <f t="shared" si="126"/>
        <v>9063.8888888888887</v>
      </c>
      <c r="U380" s="62">
        <f t="shared" si="116"/>
        <v>3455238.892222248</v>
      </c>
      <c r="V380" s="67">
        <f t="shared" si="117"/>
        <v>0</v>
      </c>
      <c r="W380" s="64"/>
      <c r="X380" s="62"/>
      <c r="Y380" s="98">
        <f t="shared" si="131"/>
        <v>0.13</v>
      </c>
      <c r="Z380" s="62">
        <f t="shared" si="118"/>
        <v>9063.8888888888887</v>
      </c>
      <c r="AA380" s="62">
        <f t="shared" si="127"/>
        <v>4282930.5555555793</v>
      </c>
      <c r="AB380" s="64"/>
      <c r="AC380" s="62"/>
      <c r="AD380" s="11"/>
    </row>
    <row r="381" spans="1:30" x14ac:dyDescent="0.35">
      <c r="A381" s="75" t="str">
        <f t="shared" si="113"/>
        <v>No</v>
      </c>
      <c r="B381" s="75">
        <f t="shared" si="128"/>
        <v>12</v>
      </c>
      <c r="C381" s="76">
        <f t="shared" si="114"/>
        <v>0</v>
      </c>
      <c r="D381" s="77">
        <f t="shared" si="115"/>
        <v>43845</v>
      </c>
      <c r="E381" s="77" t="str">
        <f t="shared" si="119"/>
        <v>No</v>
      </c>
      <c r="F381" s="75">
        <f t="shared" si="120"/>
        <v>4</v>
      </c>
      <c r="G381" s="78">
        <f t="shared" si="121"/>
        <v>0</v>
      </c>
      <c r="H381" s="77">
        <f t="shared" si="129"/>
        <v>43845</v>
      </c>
      <c r="I381" s="77" t="str">
        <f t="shared" si="122"/>
        <v>No</v>
      </c>
      <c r="J381" s="75">
        <f t="shared" si="123"/>
        <v>1</v>
      </c>
      <c r="K381" s="78">
        <f t="shared" si="130"/>
        <v>0</v>
      </c>
      <c r="L381" s="61">
        <v>43841</v>
      </c>
      <c r="M381" s="62">
        <f t="shared" si="124"/>
        <v>25100000</v>
      </c>
      <c r="N381" s="62"/>
      <c r="O381" s="62"/>
      <c r="P381" s="62"/>
      <c r="Q381" s="63">
        <f t="shared" si="112"/>
        <v>0.13</v>
      </c>
      <c r="R381" s="63">
        <f t="shared" si="132"/>
        <v>0</v>
      </c>
      <c r="S381" s="63">
        <f t="shared" si="125"/>
        <v>0.13</v>
      </c>
      <c r="T381" s="62">
        <f t="shared" si="126"/>
        <v>9063.8888888888887</v>
      </c>
      <c r="U381" s="62">
        <f t="shared" si="116"/>
        <v>3464302.781111137</v>
      </c>
      <c r="V381" s="67">
        <f t="shared" si="117"/>
        <v>0</v>
      </c>
      <c r="W381" s="64"/>
      <c r="X381" s="62"/>
      <c r="Y381" s="98">
        <f t="shared" si="131"/>
        <v>0.13</v>
      </c>
      <c r="Z381" s="62">
        <f t="shared" si="118"/>
        <v>9063.8888888888887</v>
      </c>
      <c r="AA381" s="62">
        <f t="shared" si="127"/>
        <v>4291994.4444444682</v>
      </c>
      <c r="AB381" s="64"/>
      <c r="AC381" s="62"/>
      <c r="AD381" s="11"/>
    </row>
    <row r="382" spans="1:30" x14ac:dyDescent="0.35">
      <c r="A382" s="75" t="str">
        <f t="shared" si="113"/>
        <v>No</v>
      </c>
      <c r="B382" s="75">
        <f t="shared" si="128"/>
        <v>12</v>
      </c>
      <c r="C382" s="76">
        <f t="shared" si="114"/>
        <v>0</v>
      </c>
      <c r="D382" s="77">
        <f t="shared" si="115"/>
        <v>43845</v>
      </c>
      <c r="E382" s="77" t="str">
        <f t="shared" si="119"/>
        <v>No</v>
      </c>
      <c r="F382" s="75">
        <f t="shared" si="120"/>
        <v>4</v>
      </c>
      <c r="G382" s="78">
        <f t="shared" si="121"/>
        <v>0</v>
      </c>
      <c r="H382" s="77">
        <f t="shared" si="129"/>
        <v>43845</v>
      </c>
      <c r="I382" s="77" t="str">
        <f t="shared" si="122"/>
        <v>No</v>
      </c>
      <c r="J382" s="75">
        <f t="shared" si="123"/>
        <v>1</v>
      </c>
      <c r="K382" s="78">
        <f t="shared" si="130"/>
        <v>0</v>
      </c>
      <c r="L382" s="61">
        <v>43842</v>
      </c>
      <c r="M382" s="62">
        <f t="shared" si="124"/>
        <v>25100000</v>
      </c>
      <c r="N382" s="62"/>
      <c r="O382" s="62"/>
      <c r="P382" s="62"/>
      <c r="Q382" s="63">
        <f t="shared" si="112"/>
        <v>0.13</v>
      </c>
      <c r="R382" s="63">
        <f t="shared" si="132"/>
        <v>0</v>
      </c>
      <c r="S382" s="63">
        <f t="shared" si="125"/>
        <v>0.13</v>
      </c>
      <c r="T382" s="62">
        <f t="shared" si="126"/>
        <v>9063.8888888888887</v>
      </c>
      <c r="U382" s="62">
        <f t="shared" si="116"/>
        <v>3473366.670000026</v>
      </c>
      <c r="V382" s="67">
        <f t="shared" si="117"/>
        <v>0</v>
      </c>
      <c r="W382" s="64"/>
      <c r="X382" s="62"/>
      <c r="Y382" s="98">
        <f t="shared" si="131"/>
        <v>0.13</v>
      </c>
      <c r="Z382" s="62">
        <f t="shared" si="118"/>
        <v>9063.8888888888887</v>
      </c>
      <c r="AA382" s="62">
        <f t="shared" si="127"/>
        <v>4301058.3333333572</v>
      </c>
      <c r="AB382" s="64"/>
      <c r="AC382" s="62"/>
      <c r="AD382" s="11"/>
    </row>
    <row r="383" spans="1:30" x14ac:dyDescent="0.35">
      <c r="A383" s="75" t="str">
        <f t="shared" si="113"/>
        <v>No</v>
      </c>
      <c r="B383" s="75">
        <f t="shared" si="128"/>
        <v>12</v>
      </c>
      <c r="C383" s="76">
        <f t="shared" si="114"/>
        <v>0</v>
      </c>
      <c r="D383" s="77">
        <f t="shared" si="115"/>
        <v>43845</v>
      </c>
      <c r="E383" s="77" t="str">
        <f t="shared" si="119"/>
        <v>No</v>
      </c>
      <c r="F383" s="75">
        <f t="shared" si="120"/>
        <v>4</v>
      </c>
      <c r="G383" s="78">
        <f t="shared" si="121"/>
        <v>0</v>
      </c>
      <c r="H383" s="77">
        <f t="shared" si="129"/>
        <v>43845</v>
      </c>
      <c r="I383" s="77" t="str">
        <f t="shared" si="122"/>
        <v>No</v>
      </c>
      <c r="J383" s="75">
        <f t="shared" si="123"/>
        <v>1</v>
      </c>
      <c r="K383" s="78">
        <f t="shared" si="130"/>
        <v>0</v>
      </c>
      <c r="L383" s="61">
        <v>43843</v>
      </c>
      <c r="M383" s="62">
        <f t="shared" si="124"/>
        <v>25100000</v>
      </c>
      <c r="N383" s="62"/>
      <c r="O383" s="62"/>
      <c r="P383" s="62"/>
      <c r="Q383" s="63">
        <f t="shared" si="112"/>
        <v>0.13</v>
      </c>
      <c r="R383" s="63">
        <f t="shared" si="132"/>
        <v>0</v>
      </c>
      <c r="S383" s="63">
        <f t="shared" si="125"/>
        <v>0.13</v>
      </c>
      <c r="T383" s="62">
        <f t="shared" si="126"/>
        <v>9063.8888888888887</v>
      </c>
      <c r="U383" s="62">
        <f t="shared" si="116"/>
        <v>3482430.558888915</v>
      </c>
      <c r="V383" s="67">
        <f t="shared" si="117"/>
        <v>0</v>
      </c>
      <c r="W383" s="64"/>
      <c r="X383" s="62"/>
      <c r="Y383" s="98">
        <f t="shared" si="131"/>
        <v>0.13</v>
      </c>
      <c r="Z383" s="62">
        <f t="shared" si="118"/>
        <v>9063.8888888888887</v>
      </c>
      <c r="AA383" s="62">
        <f t="shared" si="127"/>
        <v>4310122.2222222462</v>
      </c>
      <c r="AB383" s="64"/>
      <c r="AC383" s="62"/>
      <c r="AD383" s="11"/>
    </row>
    <row r="384" spans="1:30" x14ac:dyDescent="0.35">
      <c r="A384" s="75" t="str">
        <f t="shared" si="113"/>
        <v>No</v>
      </c>
      <c r="B384" s="75">
        <f t="shared" si="128"/>
        <v>12</v>
      </c>
      <c r="C384" s="76">
        <f t="shared" si="114"/>
        <v>0</v>
      </c>
      <c r="D384" s="77">
        <f t="shared" si="115"/>
        <v>43845</v>
      </c>
      <c r="E384" s="77" t="str">
        <f t="shared" si="119"/>
        <v>No</v>
      </c>
      <c r="F384" s="75">
        <f t="shared" si="120"/>
        <v>4</v>
      </c>
      <c r="G384" s="78">
        <f t="shared" si="121"/>
        <v>0</v>
      </c>
      <c r="H384" s="77">
        <f t="shared" si="129"/>
        <v>43845</v>
      </c>
      <c r="I384" s="77" t="str">
        <f t="shared" si="122"/>
        <v>No</v>
      </c>
      <c r="J384" s="75">
        <f t="shared" si="123"/>
        <v>1</v>
      </c>
      <c r="K384" s="78">
        <f t="shared" si="130"/>
        <v>0</v>
      </c>
      <c r="L384" s="61">
        <v>43844</v>
      </c>
      <c r="M384" s="62">
        <f t="shared" si="124"/>
        <v>25100000</v>
      </c>
      <c r="N384" s="62"/>
      <c r="O384" s="62"/>
      <c r="P384" s="62"/>
      <c r="Q384" s="63">
        <f t="shared" si="112"/>
        <v>0.13</v>
      </c>
      <c r="R384" s="63">
        <f t="shared" si="132"/>
        <v>0</v>
      </c>
      <c r="S384" s="63">
        <f t="shared" si="125"/>
        <v>0.13</v>
      </c>
      <c r="T384" s="62">
        <f t="shared" si="126"/>
        <v>9063.8888888888887</v>
      </c>
      <c r="U384" s="62">
        <f t="shared" si="116"/>
        <v>3491494.447777804</v>
      </c>
      <c r="V384" s="67">
        <f t="shared" si="117"/>
        <v>0</v>
      </c>
      <c r="W384" s="64"/>
      <c r="X384" s="62"/>
      <c r="Y384" s="98">
        <f t="shared" si="131"/>
        <v>0.13</v>
      </c>
      <c r="Z384" s="62">
        <f t="shared" si="118"/>
        <v>9063.8888888888887</v>
      </c>
      <c r="AA384" s="62">
        <f t="shared" si="127"/>
        <v>4319186.1111111352</v>
      </c>
      <c r="AB384" s="64"/>
      <c r="AC384" s="62"/>
      <c r="AD384" s="11"/>
    </row>
    <row r="385" spans="1:30" x14ac:dyDescent="0.35">
      <c r="A385" s="75" t="str">
        <f t="shared" si="113"/>
        <v>Yes</v>
      </c>
      <c r="B385" s="75">
        <f t="shared" si="128"/>
        <v>13</v>
      </c>
      <c r="C385" s="76">
        <f t="shared" si="114"/>
        <v>280980.55555555539</v>
      </c>
      <c r="D385" s="77">
        <f t="shared" si="115"/>
        <v>43936</v>
      </c>
      <c r="E385" s="77" t="str">
        <f t="shared" si="119"/>
        <v>Yes</v>
      </c>
      <c r="F385" s="75">
        <f t="shared" si="120"/>
        <v>5</v>
      </c>
      <c r="G385" s="78">
        <f t="shared" si="121"/>
        <v>833877.77777777682</v>
      </c>
      <c r="H385" s="77">
        <f t="shared" si="129"/>
        <v>44211</v>
      </c>
      <c r="I385" s="77" t="str">
        <f t="shared" si="122"/>
        <v>Yes</v>
      </c>
      <c r="J385" s="75">
        <f t="shared" si="123"/>
        <v>2</v>
      </c>
      <c r="K385" s="78">
        <f t="shared" si="130"/>
        <v>3276077.7777778022</v>
      </c>
      <c r="L385" s="61">
        <v>43845</v>
      </c>
      <c r="M385" s="62">
        <f t="shared" si="124"/>
        <v>25100000</v>
      </c>
      <c r="N385" s="62"/>
      <c r="O385" s="62"/>
      <c r="P385" s="62"/>
      <c r="Q385" s="63">
        <f t="shared" si="112"/>
        <v>0.13</v>
      </c>
      <c r="R385" s="63">
        <f t="shared" si="132"/>
        <v>0</v>
      </c>
      <c r="S385" s="63">
        <f t="shared" si="125"/>
        <v>0.13</v>
      </c>
      <c r="T385" s="62">
        <f t="shared" si="126"/>
        <v>9063.8888888888887</v>
      </c>
      <c r="U385" s="62">
        <f t="shared" si="116"/>
        <v>3500558.336666693</v>
      </c>
      <c r="V385" s="67">
        <f t="shared" si="117"/>
        <v>280980.55555555539</v>
      </c>
      <c r="W385" s="64"/>
      <c r="X385" s="62"/>
      <c r="Y385" s="98">
        <f t="shared" si="131"/>
        <v>0.13</v>
      </c>
      <c r="Z385" s="62">
        <f t="shared" si="118"/>
        <v>9063.8888888888887</v>
      </c>
      <c r="AA385" s="62">
        <f t="shared" si="127"/>
        <v>4328250.0000000242</v>
      </c>
      <c r="AB385" s="64"/>
      <c r="AC385" s="62"/>
      <c r="AD385" s="11"/>
    </row>
    <row r="386" spans="1:30" x14ac:dyDescent="0.35">
      <c r="A386" s="75" t="str">
        <f t="shared" si="113"/>
        <v>No</v>
      </c>
      <c r="B386" s="75">
        <f t="shared" si="128"/>
        <v>13</v>
      </c>
      <c r="C386" s="76">
        <f t="shared" si="114"/>
        <v>0</v>
      </c>
      <c r="D386" s="77">
        <f t="shared" si="115"/>
        <v>43936</v>
      </c>
      <c r="E386" s="77" t="str">
        <f t="shared" si="119"/>
        <v>No</v>
      </c>
      <c r="F386" s="75">
        <f t="shared" si="120"/>
        <v>5</v>
      </c>
      <c r="G386" s="78">
        <f t="shared" si="121"/>
        <v>0</v>
      </c>
      <c r="H386" s="77">
        <f t="shared" si="129"/>
        <v>44211</v>
      </c>
      <c r="I386" s="77" t="str">
        <f t="shared" si="122"/>
        <v>No</v>
      </c>
      <c r="J386" s="75">
        <f t="shared" si="123"/>
        <v>2</v>
      </c>
      <c r="K386" s="78">
        <f t="shared" si="130"/>
        <v>0</v>
      </c>
      <c r="L386" s="61">
        <v>43846</v>
      </c>
      <c r="M386" s="62">
        <f t="shared" si="124"/>
        <v>25100000</v>
      </c>
      <c r="N386" s="62"/>
      <c r="O386" s="62"/>
      <c r="P386" s="62"/>
      <c r="Q386" s="63">
        <f t="shared" ref="Q386:Q435" si="133">Q385</f>
        <v>0.13</v>
      </c>
      <c r="R386" s="63">
        <f t="shared" si="132"/>
        <v>0</v>
      </c>
      <c r="S386" s="63">
        <f t="shared" si="125"/>
        <v>0.13</v>
      </c>
      <c r="T386" s="62">
        <f t="shared" si="126"/>
        <v>9063.8888888888887</v>
      </c>
      <c r="U386" s="62">
        <f t="shared" si="116"/>
        <v>3509622.225555582</v>
      </c>
      <c r="V386" s="67">
        <f t="shared" si="117"/>
        <v>0</v>
      </c>
      <c r="W386" s="64"/>
      <c r="X386" s="62"/>
      <c r="Y386" s="98">
        <f t="shared" si="131"/>
        <v>0.13</v>
      </c>
      <c r="Z386" s="62">
        <f t="shared" si="118"/>
        <v>9063.8888888888887</v>
      </c>
      <c r="AA386" s="62">
        <f t="shared" si="127"/>
        <v>4337313.8888889132</v>
      </c>
      <c r="AB386" s="64"/>
      <c r="AC386" s="62"/>
      <c r="AD386" s="11"/>
    </row>
    <row r="387" spans="1:30" x14ac:dyDescent="0.35">
      <c r="A387" s="75" t="str">
        <f t="shared" si="113"/>
        <v>No</v>
      </c>
      <c r="B387" s="75">
        <f t="shared" si="128"/>
        <v>13</v>
      </c>
      <c r="C387" s="76">
        <f t="shared" si="114"/>
        <v>0</v>
      </c>
      <c r="D387" s="77">
        <f t="shared" si="115"/>
        <v>43936</v>
      </c>
      <c r="E387" s="77" t="str">
        <f t="shared" si="119"/>
        <v>No</v>
      </c>
      <c r="F387" s="75">
        <f t="shared" si="120"/>
        <v>5</v>
      </c>
      <c r="G387" s="78">
        <f t="shared" si="121"/>
        <v>0</v>
      </c>
      <c r="H387" s="77">
        <f t="shared" si="129"/>
        <v>44211</v>
      </c>
      <c r="I387" s="77" t="str">
        <f t="shared" si="122"/>
        <v>No</v>
      </c>
      <c r="J387" s="75">
        <f t="shared" si="123"/>
        <v>2</v>
      </c>
      <c r="K387" s="78">
        <f t="shared" si="130"/>
        <v>0</v>
      </c>
      <c r="L387" s="61">
        <v>43847</v>
      </c>
      <c r="M387" s="62">
        <f t="shared" si="124"/>
        <v>25100000</v>
      </c>
      <c r="N387" s="62"/>
      <c r="O387" s="62"/>
      <c r="P387" s="62"/>
      <c r="Q387" s="63">
        <f t="shared" si="133"/>
        <v>0.13</v>
      </c>
      <c r="R387" s="63">
        <f t="shared" si="132"/>
        <v>0</v>
      </c>
      <c r="S387" s="63">
        <f t="shared" si="125"/>
        <v>0.13</v>
      </c>
      <c r="T387" s="62">
        <f t="shared" si="126"/>
        <v>9063.8888888888887</v>
      </c>
      <c r="U387" s="62">
        <f t="shared" si="116"/>
        <v>3518686.114444471</v>
      </c>
      <c r="V387" s="67">
        <f t="shared" si="117"/>
        <v>0</v>
      </c>
      <c r="W387" s="64"/>
      <c r="X387" s="62"/>
      <c r="Y387" s="98">
        <f t="shared" si="131"/>
        <v>0.13</v>
      </c>
      <c r="Z387" s="62">
        <f t="shared" si="118"/>
        <v>9063.8888888888887</v>
      </c>
      <c r="AA387" s="62">
        <f t="shared" si="127"/>
        <v>4346377.7777778022</v>
      </c>
      <c r="AB387" s="64"/>
      <c r="AC387" s="62"/>
      <c r="AD387" s="11"/>
    </row>
    <row r="388" spans="1:30" x14ac:dyDescent="0.35">
      <c r="A388" s="75" t="str">
        <f t="shared" si="113"/>
        <v>No</v>
      </c>
      <c r="B388" s="75">
        <f t="shared" si="128"/>
        <v>13</v>
      </c>
      <c r="C388" s="76">
        <f t="shared" si="114"/>
        <v>0</v>
      </c>
      <c r="D388" s="77">
        <f t="shared" si="115"/>
        <v>43936</v>
      </c>
      <c r="E388" s="77" t="str">
        <f t="shared" si="119"/>
        <v>No</v>
      </c>
      <c r="F388" s="75">
        <f t="shared" si="120"/>
        <v>5</v>
      </c>
      <c r="G388" s="78">
        <f t="shared" si="121"/>
        <v>0</v>
      </c>
      <c r="H388" s="77">
        <f t="shared" si="129"/>
        <v>44211</v>
      </c>
      <c r="I388" s="77" t="str">
        <f t="shared" si="122"/>
        <v>No</v>
      </c>
      <c r="J388" s="75">
        <f t="shared" si="123"/>
        <v>2</v>
      </c>
      <c r="K388" s="78">
        <f t="shared" si="130"/>
        <v>0</v>
      </c>
      <c r="L388" s="61">
        <v>43848</v>
      </c>
      <c r="M388" s="62">
        <f t="shared" si="124"/>
        <v>25100000</v>
      </c>
      <c r="N388" s="62"/>
      <c r="O388" s="62"/>
      <c r="P388" s="62"/>
      <c r="Q388" s="63">
        <f t="shared" si="133"/>
        <v>0.13</v>
      </c>
      <c r="R388" s="63">
        <f t="shared" si="132"/>
        <v>0</v>
      </c>
      <c r="S388" s="63">
        <f t="shared" si="125"/>
        <v>0.13</v>
      </c>
      <c r="T388" s="62">
        <f t="shared" si="126"/>
        <v>9063.8888888888887</v>
      </c>
      <c r="U388" s="62">
        <f t="shared" si="116"/>
        <v>3527750.00333336</v>
      </c>
      <c r="V388" s="67">
        <f t="shared" si="117"/>
        <v>0</v>
      </c>
      <c r="W388" s="64"/>
      <c r="X388" s="62"/>
      <c r="Y388" s="98">
        <f t="shared" si="131"/>
        <v>0.13</v>
      </c>
      <c r="Z388" s="62">
        <f t="shared" si="118"/>
        <v>9063.8888888888887</v>
      </c>
      <c r="AA388" s="62">
        <f t="shared" si="127"/>
        <v>4355441.6666666912</v>
      </c>
      <c r="AB388" s="64"/>
      <c r="AC388" s="62"/>
      <c r="AD388" s="11"/>
    </row>
    <row r="389" spans="1:30" x14ac:dyDescent="0.35">
      <c r="A389" s="75" t="str">
        <f t="shared" si="113"/>
        <v>No</v>
      </c>
      <c r="B389" s="75">
        <f t="shared" si="128"/>
        <v>13</v>
      </c>
      <c r="C389" s="76">
        <f t="shared" si="114"/>
        <v>0</v>
      </c>
      <c r="D389" s="77">
        <f t="shared" si="115"/>
        <v>43936</v>
      </c>
      <c r="E389" s="77" t="str">
        <f t="shared" si="119"/>
        <v>No</v>
      </c>
      <c r="F389" s="75">
        <f t="shared" si="120"/>
        <v>5</v>
      </c>
      <c r="G389" s="78">
        <f t="shared" si="121"/>
        <v>0</v>
      </c>
      <c r="H389" s="77">
        <f t="shared" si="129"/>
        <v>44211</v>
      </c>
      <c r="I389" s="77" t="str">
        <f t="shared" si="122"/>
        <v>No</v>
      </c>
      <c r="J389" s="75">
        <f t="shared" si="123"/>
        <v>2</v>
      </c>
      <c r="K389" s="78">
        <f t="shared" si="130"/>
        <v>0</v>
      </c>
      <c r="L389" s="61">
        <v>43849</v>
      </c>
      <c r="M389" s="62">
        <f t="shared" si="124"/>
        <v>25100000</v>
      </c>
      <c r="N389" s="62"/>
      <c r="O389" s="62"/>
      <c r="P389" s="62"/>
      <c r="Q389" s="63">
        <f t="shared" si="133"/>
        <v>0.13</v>
      </c>
      <c r="R389" s="63">
        <f t="shared" si="132"/>
        <v>0</v>
      </c>
      <c r="S389" s="63">
        <f t="shared" si="125"/>
        <v>0.13</v>
      </c>
      <c r="T389" s="62">
        <f t="shared" si="126"/>
        <v>9063.8888888888887</v>
      </c>
      <c r="U389" s="62">
        <f t="shared" si="116"/>
        <v>3536813.8922222489</v>
      </c>
      <c r="V389" s="67">
        <f t="shared" si="117"/>
        <v>0</v>
      </c>
      <c r="W389" s="64"/>
      <c r="X389" s="62"/>
      <c r="Y389" s="98">
        <f t="shared" si="131"/>
        <v>0.13</v>
      </c>
      <c r="Z389" s="62">
        <f t="shared" si="118"/>
        <v>9063.8888888888887</v>
      </c>
      <c r="AA389" s="62">
        <f t="shared" si="127"/>
        <v>4364505.5555555802</v>
      </c>
      <c r="AB389" s="64"/>
      <c r="AC389" s="62"/>
      <c r="AD389" s="11"/>
    </row>
    <row r="390" spans="1:30" x14ac:dyDescent="0.35">
      <c r="A390" s="75" t="str">
        <f t="shared" si="113"/>
        <v>No</v>
      </c>
      <c r="B390" s="75">
        <f t="shared" si="128"/>
        <v>13</v>
      </c>
      <c r="C390" s="76">
        <f t="shared" si="114"/>
        <v>0</v>
      </c>
      <c r="D390" s="77">
        <f t="shared" si="115"/>
        <v>43936</v>
      </c>
      <c r="E390" s="77" t="str">
        <f t="shared" si="119"/>
        <v>No</v>
      </c>
      <c r="F390" s="75">
        <f t="shared" si="120"/>
        <v>5</v>
      </c>
      <c r="G390" s="78">
        <f t="shared" si="121"/>
        <v>0</v>
      </c>
      <c r="H390" s="77">
        <f t="shared" si="129"/>
        <v>44211</v>
      </c>
      <c r="I390" s="77" t="str">
        <f t="shared" si="122"/>
        <v>No</v>
      </c>
      <c r="J390" s="75">
        <f t="shared" si="123"/>
        <v>2</v>
      </c>
      <c r="K390" s="78">
        <f t="shared" si="130"/>
        <v>0</v>
      </c>
      <c r="L390" s="61">
        <v>43850</v>
      </c>
      <c r="M390" s="62">
        <f t="shared" si="124"/>
        <v>25100000</v>
      </c>
      <c r="N390" s="62"/>
      <c r="O390" s="62"/>
      <c r="P390" s="62"/>
      <c r="Q390" s="63">
        <f t="shared" si="133"/>
        <v>0.13</v>
      </c>
      <c r="R390" s="63">
        <f t="shared" si="132"/>
        <v>0</v>
      </c>
      <c r="S390" s="63">
        <f t="shared" si="125"/>
        <v>0.13</v>
      </c>
      <c r="T390" s="62">
        <f t="shared" si="126"/>
        <v>9063.8888888888887</v>
      </c>
      <c r="U390" s="62">
        <f t="shared" si="116"/>
        <v>3545877.7811111379</v>
      </c>
      <c r="V390" s="67">
        <f t="shared" si="117"/>
        <v>0</v>
      </c>
      <c r="W390" s="64"/>
      <c r="X390" s="62"/>
      <c r="Y390" s="98">
        <f t="shared" si="131"/>
        <v>0.13</v>
      </c>
      <c r="Z390" s="62">
        <f t="shared" si="118"/>
        <v>9063.8888888888887</v>
      </c>
      <c r="AA390" s="62">
        <f t="shared" si="127"/>
        <v>4373569.4444444692</v>
      </c>
      <c r="AB390" s="64"/>
      <c r="AC390" s="62"/>
      <c r="AD390" s="11"/>
    </row>
    <row r="391" spans="1:30" x14ac:dyDescent="0.35">
      <c r="A391" s="75" t="str">
        <f t="shared" si="113"/>
        <v>No</v>
      </c>
      <c r="B391" s="75">
        <f t="shared" si="128"/>
        <v>13</v>
      </c>
      <c r="C391" s="76">
        <f t="shared" si="114"/>
        <v>0</v>
      </c>
      <c r="D391" s="77">
        <f t="shared" si="115"/>
        <v>43936</v>
      </c>
      <c r="E391" s="77" t="str">
        <f t="shared" si="119"/>
        <v>No</v>
      </c>
      <c r="F391" s="75">
        <f t="shared" si="120"/>
        <v>5</v>
      </c>
      <c r="G391" s="78">
        <f t="shared" si="121"/>
        <v>0</v>
      </c>
      <c r="H391" s="77">
        <f t="shared" si="129"/>
        <v>44211</v>
      </c>
      <c r="I391" s="77" t="str">
        <f t="shared" si="122"/>
        <v>No</v>
      </c>
      <c r="J391" s="75">
        <f t="shared" si="123"/>
        <v>2</v>
      </c>
      <c r="K391" s="78">
        <f t="shared" si="130"/>
        <v>0</v>
      </c>
      <c r="L391" s="61">
        <v>43851</v>
      </c>
      <c r="M391" s="62">
        <f t="shared" si="124"/>
        <v>25100000</v>
      </c>
      <c r="N391" s="62"/>
      <c r="O391" s="62"/>
      <c r="P391" s="62"/>
      <c r="Q391" s="63">
        <f t="shared" si="133"/>
        <v>0.13</v>
      </c>
      <c r="R391" s="63">
        <f t="shared" si="132"/>
        <v>0</v>
      </c>
      <c r="S391" s="63">
        <f t="shared" si="125"/>
        <v>0.13</v>
      </c>
      <c r="T391" s="62">
        <f t="shared" si="126"/>
        <v>9063.8888888888887</v>
      </c>
      <c r="U391" s="62">
        <f t="shared" si="116"/>
        <v>3554941.6700000269</v>
      </c>
      <c r="V391" s="67">
        <f t="shared" si="117"/>
        <v>0</v>
      </c>
      <c r="W391" s="64"/>
      <c r="X391" s="62"/>
      <c r="Y391" s="98">
        <f t="shared" si="131"/>
        <v>0.13</v>
      </c>
      <c r="Z391" s="62">
        <f t="shared" si="118"/>
        <v>9063.8888888888887</v>
      </c>
      <c r="AA391" s="62">
        <f t="shared" si="127"/>
        <v>4382633.3333333582</v>
      </c>
      <c r="AB391" s="64"/>
      <c r="AC391" s="62"/>
      <c r="AD391" s="11"/>
    </row>
    <row r="392" spans="1:30" x14ac:dyDescent="0.35">
      <c r="A392" s="75" t="str">
        <f t="shared" si="113"/>
        <v>No</v>
      </c>
      <c r="B392" s="75">
        <f t="shared" si="128"/>
        <v>13</v>
      </c>
      <c r="C392" s="76">
        <f t="shared" si="114"/>
        <v>0</v>
      </c>
      <c r="D392" s="77">
        <f t="shared" si="115"/>
        <v>43936</v>
      </c>
      <c r="E392" s="77" t="str">
        <f t="shared" si="119"/>
        <v>No</v>
      </c>
      <c r="F392" s="75">
        <f t="shared" si="120"/>
        <v>5</v>
      </c>
      <c r="G392" s="78">
        <f t="shared" si="121"/>
        <v>0</v>
      </c>
      <c r="H392" s="77">
        <f t="shared" si="129"/>
        <v>44211</v>
      </c>
      <c r="I392" s="77" t="str">
        <f t="shared" si="122"/>
        <v>No</v>
      </c>
      <c r="J392" s="75">
        <f t="shared" si="123"/>
        <v>2</v>
      </c>
      <c r="K392" s="78">
        <f t="shared" si="130"/>
        <v>0</v>
      </c>
      <c r="L392" s="61">
        <v>43852</v>
      </c>
      <c r="M392" s="62">
        <f t="shared" si="124"/>
        <v>25100000</v>
      </c>
      <c r="N392" s="62"/>
      <c r="O392" s="62"/>
      <c r="P392" s="62"/>
      <c r="Q392" s="63">
        <f t="shared" si="133"/>
        <v>0.13</v>
      </c>
      <c r="R392" s="63">
        <f t="shared" si="132"/>
        <v>0</v>
      </c>
      <c r="S392" s="63">
        <f t="shared" si="125"/>
        <v>0.13</v>
      </c>
      <c r="T392" s="62">
        <f t="shared" si="126"/>
        <v>9063.8888888888887</v>
      </c>
      <c r="U392" s="62">
        <f t="shared" si="116"/>
        <v>3564005.5588889159</v>
      </c>
      <c r="V392" s="67">
        <f t="shared" si="117"/>
        <v>0</v>
      </c>
      <c r="W392" s="64"/>
      <c r="X392" s="62"/>
      <c r="Y392" s="98">
        <f t="shared" si="131"/>
        <v>0.13</v>
      </c>
      <c r="Z392" s="62">
        <f t="shared" si="118"/>
        <v>9063.8888888888887</v>
      </c>
      <c r="AA392" s="62">
        <f t="shared" si="127"/>
        <v>4391697.2222222472</v>
      </c>
      <c r="AB392" s="64"/>
      <c r="AC392" s="62"/>
      <c r="AD392" s="11"/>
    </row>
    <row r="393" spans="1:30" x14ac:dyDescent="0.35">
      <c r="A393" s="75" t="str">
        <f t="shared" si="113"/>
        <v>No</v>
      </c>
      <c r="B393" s="75">
        <f t="shared" si="128"/>
        <v>13</v>
      </c>
      <c r="C393" s="76">
        <f t="shared" si="114"/>
        <v>0</v>
      </c>
      <c r="D393" s="77">
        <f t="shared" si="115"/>
        <v>43936</v>
      </c>
      <c r="E393" s="77" t="str">
        <f t="shared" si="119"/>
        <v>No</v>
      </c>
      <c r="F393" s="75">
        <f t="shared" si="120"/>
        <v>5</v>
      </c>
      <c r="G393" s="78">
        <f t="shared" si="121"/>
        <v>0</v>
      </c>
      <c r="H393" s="77">
        <f t="shared" si="129"/>
        <v>44211</v>
      </c>
      <c r="I393" s="77" t="str">
        <f t="shared" si="122"/>
        <v>No</v>
      </c>
      <c r="J393" s="75">
        <f t="shared" si="123"/>
        <v>2</v>
      </c>
      <c r="K393" s="78">
        <f t="shared" si="130"/>
        <v>0</v>
      </c>
      <c r="L393" s="61">
        <v>43853</v>
      </c>
      <c r="M393" s="62">
        <f t="shared" si="124"/>
        <v>25100000</v>
      </c>
      <c r="N393" s="62"/>
      <c r="O393" s="62"/>
      <c r="P393" s="62"/>
      <c r="Q393" s="63">
        <f t="shared" si="133"/>
        <v>0.13</v>
      </c>
      <c r="R393" s="63">
        <f t="shared" si="132"/>
        <v>0</v>
      </c>
      <c r="S393" s="63">
        <f t="shared" si="125"/>
        <v>0.13</v>
      </c>
      <c r="T393" s="62">
        <f t="shared" si="126"/>
        <v>9063.8888888888887</v>
      </c>
      <c r="U393" s="62">
        <f t="shared" si="116"/>
        <v>3573069.4477778049</v>
      </c>
      <c r="V393" s="67">
        <f t="shared" si="117"/>
        <v>0</v>
      </c>
      <c r="W393" s="64"/>
      <c r="X393" s="62"/>
      <c r="Y393" s="98">
        <f t="shared" si="131"/>
        <v>0.13</v>
      </c>
      <c r="Z393" s="62">
        <f t="shared" si="118"/>
        <v>9063.8888888888887</v>
      </c>
      <c r="AA393" s="62">
        <f t="shared" si="127"/>
        <v>4400761.1111111362</v>
      </c>
      <c r="AB393" s="64"/>
      <c r="AC393" s="62"/>
      <c r="AD393" s="11"/>
    </row>
    <row r="394" spans="1:30" x14ac:dyDescent="0.35">
      <c r="A394" s="75" t="str">
        <f t="shared" si="113"/>
        <v>No</v>
      </c>
      <c r="B394" s="75">
        <f t="shared" si="128"/>
        <v>13</v>
      </c>
      <c r="C394" s="76">
        <f t="shared" si="114"/>
        <v>0</v>
      </c>
      <c r="D394" s="77">
        <f t="shared" si="115"/>
        <v>43936</v>
      </c>
      <c r="E394" s="77" t="str">
        <f t="shared" si="119"/>
        <v>No</v>
      </c>
      <c r="F394" s="75">
        <f t="shared" si="120"/>
        <v>5</v>
      </c>
      <c r="G394" s="78">
        <f t="shared" si="121"/>
        <v>0</v>
      </c>
      <c r="H394" s="77">
        <f t="shared" si="129"/>
        <v>44211</v>
      </c>
      <c r="I394" s="77" t="str">
        <f t="shared" si="122"/>
        <v>No</v>
      </c>
      <c r="J394" s="75">
        <f t="shared" si="123"/>
        <v>2</v>
      </c>
      <c r="K394" s="78">
        <f t="shared" si="130"/>
        <v>0</v>
      </c>
      <c r="L394" s="61">
        <v>43854</v>
      </c>
      <c r="M394" s="62">
        <f t="shared" si="124"/>
        <v>25100000</v>
      </c>
      <c r="N394" s="62"/>
      <c r="O394" s="62"/>
      <c r="P394" s="62"/>
      <c r="Q394" s="63">
        <f t="shared" si="133"/>
        <v>0.13</v>
      </c>
      <c r="R394" s="63">
        <f t="shared" si="132"/>
        <v>0</v>
      </c>
      <c r="S394" s="63">
        <f t="shared" si="125"/>
        <v>0.13</v>
      </c>
      <c r="T394" s="62">
        <f t="shared" si="126"/>
        <v>9063.8888888888887</v>
      </c>
      <c r="U394" s="62">
        <f t="shared" si="116"/>
        <v>3582133.3366666939</v>
      </c>
      <c r="V394" s="67">
        <f t="shared" si="117"/>
        <v>0</v>
      </c>
      <c r="W394" s="64"/>
      <c r="X394" s="62"/>
      <c r="Y394" s="98">
        <f t="shared" si="131"/>
        <v>0.13</v>
      </c>
      <c r="Z394" s="62">
        <f t="shared" si="118"/>
        <v>9063.8888888888887</v>
      </c>
      <c r="AA394" s="62">
        <f t="shared" si="127"/>
        <v>4409825.0000000251</v>
      </c>
      <c r="AB394" s="64"/>
      <c r="AC394" s="62"/>
      <c r="AD394" s="11"/>
    </row>
    <row r="395" spans="1:30" x14ac:dyDescent="0.35">
      <c r="A395" s="75" t="str">
        <f t="shared" si="113"/>
        <v>No</v>
      </c>
      <c r="B395" s="75">
        <f t="shared" si="128"/>
        <v>13</v>
      </c>
      <c r="C395" s="76">
        <f t="shared" si="114"/>
        <v>0</v>
      </c>
      <c r="D395" s="77">
        <f t="shared" si="115"/>
        <v>43936</v>
      </c>
      <c r="E395" s="77" t="str">
        <f t="shared" si="119"/>
        <v>No</v>
      </c>
      <c r="F395" s="75">
        <f t="shared" si="120"/>
        <v>5</v>
      </c>
      <c r="G395" s="78">
        <f t="shared" si="121"/>
        <v>0</v>
      </c>
      <c r="H395" s="77">
        <f t="shared" si="129"/>
        <v>44211</v>
      </c>
      <c r="I395" s="77" t="str">
        <f t="shared" si="122"/>
        <v>No</v>
      </c>
      <c r="J395" s="75">
        <f t="shared" si="123"/>
        <v>2</v>
      </c>
      <c r="K395" s="78">
        <f t="shared" si="130"/>
        <v>0</v>
      </c>
      <c r="L395" s="61">
        <v>43855</v>
      </c>
      <c r="M395" s="62">
        <f t="shared" si="124"/>
        <v>25100000</v>
      </c>
      <c r="N395" s="62"/>
      <c r="O395" s="62"/>
      <c r="P395" s="62"/>
      <c r="Q395" s="63">
        <f t="shared" si="133"/>
        <v>0.13</v>
      </c>
      <c r="R395" s="63">
        <f t="shared" si="132"/>
        <v>0</v>
      </c>
      <c r="S395" s="63">
        <f t="shared" si="125"/>
        <v>0.13</v>
      </c>
      <c r="T395" s="62">
        <f t="shared" si="126"/>
        <v>9063.8888888888887</v>
      </c>
      <c r="U395" s="62">
        <f t="shared" si="116"/>
        <v>3591197.2255555829</v>
      </c>
      <c r="V395" s="67">
        <f t="shared" si="117"/>
        <v>0</v>
      </c>
      <c r="W395" s="64"/>
      <c r="X395" s="62"/>
      <c r="Y395" s="98">
        <f t="shared" si="131"/>
        <v>0.13</v>
      </c>
      <c r="Z395" s="62">
        <f t="shared" si="118"/>
        <v>9063.8888888888887</v>
      </c>
      <c r="AA395" s="62">
        <f t="shared" si="127"/>
        <v>4418888.8888889141</v>
      </c>
      <c r="AB395" s="64"/>
      <c r="AC395" s="62"/>
      <c r="AD395" s="11"/>
    </row>
    <row r="396" spans="1:30" x14ac:dyDescent="0.35">
      <c r="A396" s="75" t="str">
        <f t="shared" si="113"/>
        <v>No</v>
      </c>
      <c r="B396" s="75">
        <f t="shared" si="128"/>
        <v>13</v>
      </c>
      <c r="C396" s="76">
        <f t="shared" si="114"/>
        <v>0</v>
      </c>
      <c r="D396" s="77">
        <f t="shared" si="115"/>
        <v>43936</v>
      </c>
      <c r="E396" s="77" t="str">
        <f t="shared" si="119"/>
        <v>No</v>
      </c>
      <c r="F396" s="75">
        <f t="shared" si="120"/>
        <v>5</v>
      </c>
      <c r="G396" s="78">
        <f t="shared" si="121"/>
        <v>0</v>
      </c>
      <c r="H396" s="77">
        <f t="shared" si="129"/>
        <v>44211</v>
      </c>
      <c r="I396" s="77" t="str">
        <f t="shared" si="122"/>
        <v>No</v>
      </c>
      <c r="J396" s="75">
        <f t="shared" si="123"/>
        <v>2</v>
      </c>
      <c r="K396" s="78">
        <f t="shared" si="130"/>
        <v>0</v>
      </c>
      <c r="L396" s="61">
        <v>43856</v>
      </c>
      <c r="M396" s="62">
        <f t="shared" si="124"/>
        <v>25100000</v>
      </c>
      <c r="N396" s="62"/>
      <c r="O396" s="62"/>
      <c r="P396" s="62"/>
      <c r="Q396" s="63">
        <f t="shared" si="133"/>
        <v>0.13</v>
      </c>
      <c r="R396" s="63">
        <f t="shared" si="132"/>
        <v>0</v>
      </c>
      <c r="S396" s="63">
        <f t="shared" si="125"/>
        <v>0.13</v>
      </c>
      <c r="T396" s="62">
        <f t="shared" si="126"/>
        <v>9063.8888888888887</v>
      </c>
      <c r="U396" s="62">
        <f t="shared" si="116"/>
        <v>3600261.1144444719</v>
      </c>
      <c r="V396" s="67">
        <f t="shared" si="117"/>
        <v>0</v>
      </c>
      <c r="W396" s="64"/>
      <c r="X396" s="62"/>
      <c r="Y396" s="98">
        <f t="shared" si="131"/>
        <v>0.13</v>
      </c>
      <c r="Z396" s="62">
        <f t="shared" si="118"/>
        <v>9063.8888888888887</v>
      </c>
      <c r="AA396" s="62">
        <f t="shared" si="127"/>
        <v>4427952.7777778031</v>
      </c>
      <c r="AB396" s="64"/>
      <c r="AC396" s="62"/>
      <c r="AD396" s="11"/>
    </row>
    <row r="397" spans="1:30" x14ac:dyDescent="0.35">
      <c r="A397" s="75" t="str">
        <f t="shared" si="113"/>
        <v>No</v>
      </c>
      <c r="B397" s="75">
        <f t="shared" si="128"/>
        <v>13</v>
      </c>
      <c r="C397" s="76">
        <f t="shared" si="114"/>
        <v>0</v>
      </c>
      <c r="D397" s="77">
        <f t="shared" si="115"/>
        <v>43936</v>
      </c>
      <c r="E397" s="77" t="str">
        <f t="shared" si="119"/>
        <v>No</v>
      </c>
      <c r="F397" s="75">
        <f t="shared" si="120"/>
        <v>5</v>
      </c>
      <c r="G397" s="78">
        <f t="shared" si="121"/>
        <v>0</v>
      </c>
      <c r="H397" s="77">
        <f t="shared" si="129"/>
        <v>44211</v>
      </c>
      <c r="I397" s="77" t="str">
        <f t="shared" si="122"/>
        <v>No</v>
      </c>
      <c r="J397" s="75">
        <f t="shared" si="123"/>
        <v>2</v>
      </c>
      <c r="K397" s="78">
        <f t="shared" si="130"/>
        <v>0</v>
      </c>
      <c r="L397" s="61">
        <v>43857</v>
      </c>
      <c r="M397" s="62">
        <f t="shared" si="124"/>
        <v>25100000</v>
      </c>
      <c r="N397" s="62"/>
      <c r="O397" s="62"/>
      <c r="P397" s="62"/>
      <c r="Q397" s="63">
        <f t="shared" si="133"/>
        <v>0.13</v>
      </c>
      <c r="R397" s="63">
        <f t="shared" si="132"/>
        <v>0</v>
      </c>
      <c r="S397" s="63">
        <f t="shared" si="125"/>
        <v>0.13</v>
      </c>
      <c r="T397" s="62">
        <f t="shared" si="126"/>
        <v>9063.8888888888887</v>
      </c>
      <c r="U397" s="62">
        <f t="shared" si="116"/>
        <v>3609325.0033333609</v>
      </c>
      <c r="V397" s="67">
        <f t="shared" si="117"/>
        <v>0</v>
      </c>
      <c r="W397" s="64"/>
      <c r="X397" s="62"/>
      <c r="Y397" s="98">
        <f t="shared" si="131"/>
        <v>0.13</v>
      </c>
      <c r="Z397" s="62">
        <f t="shared" si="118"/>
        <v>9063.8888888888887</v>
      </c>
      <c r="AA397" s="62">
        <f t="shared" si="127"/>
        <v>4437016.6666666921</v>
      </c>
      <c r="AB397" s="64"/>
      <c r="AC397" s="62"/>
      <c r="AD397" s="11"/>
    </row>
    <row r="398" spans="1:30" x14ac:dyDescent="0.35">
      <c r="A398" s="75" t="str">
        <f t="shared" si="113"/>
        <v>No</v>
      </c>
      <c r="B398" s="75">
        <f t="shared" si="128"/>
        <v>13</v>
      </c>
      <c r="C398" s="76">
        <f t="shared" si="114"/>
        <v>0</v>
      </c>
      <c r="D398" s="77">
        <f t="shared" si="115"/>
        <v>43936</v>
      </c>
      <c r="E398" s="77" t="str">
        <f t="shared" si="119"/>
        <v>No</v>
      </c>
      <c r="F398" s="75">
        <f t="shared" si="120"/>
        <v>5</v>
      </c>
      <c r="G398" s="78">
        <f t="shared" si="121"/>
        <v>0</v>
      </c>
      <c r="H398" s="77">
        <f t="shared" si="129"/>
        <v>44211</v>
      </c>
      <c r="I398" s="77" t="str">
        <f t="shared" si="122"/>
        <v>No</v>
      </c>
      <c r="J398" s="75">
        <f t="shared" si="123"/>
        <v>2</v>
      </c>
      <c r="K398" s="78">
        <f t="shared" si="130"/>
        <v>0</v>
      </c>
      <c r="L398" s="61">
        <v>43858</v>
      </c>
      <c r="M398" s="62">
        <f t="shared" si="124"/>
        <v>25100000</v>
      </c>
      <c r="N398" s="62"/>
      <c r="O398" s="62"/>
      <c r="P398" s="62"/>
      <c r="Q398" s="63">
        <f t="shared" si="133"/>
        <v>0.13</v>
      </c>
      <c r="R398" s="63">
        <f t="shared" si="132"/>
        <v>0</v>
      </c>
      <c r="S398" s="63">
        <f t="shared" si="125"/>
        <v>0.13</v>
      </c>
      <c r="T398" s="62">
        <f t="shared" si="126"/>
        <v>9063.8888888888887</v>
      </c>
      <c r="U398" s="62">
        <f t="shared" si="116"/>
        <v>3618388.8922222499</v>
      </c>
      <c r="V398" s="67">
        <f t="shared" si="117"/>
        <v>0</v>
      </c>
      <c r="W398" s="64"/>
      <c r="X398" s="62"/>
      <c r="Y398" s="98">
        <f t="shared" si="131"/>
        <v>0.13</v>
      </c>
      <c r="Z398" s="62">
        <f t="shared" si="118"/>
        <v>9063.8888888888887</v>
      </c>
      <c r="AA398" s="62">
        <f t="shared" si="127"/>
        <v>4446080.5555555811</v>
      </c>
      <c r="AB398" s="64"/>
      <c r="AC398" s="62"/>
      <c r="AD398" s="11"/>
    </row>
    <row r="399" spans="1:30" x14ac:dyDescent="0.35">
      <c r="A399" s="75" t="str">
        <f t="shared" si="113"/>
        <v>No</v>
      </c>
      <c r="B399" s="75">
        <f t="shared" si="128"/>
        <v>13</v>
      </c>
      <c r="C399" s="76">
        <f t="shared" si="114"/>
        <v>0</v>
      </c>
      <c r="D399" s="77">
        <f t="shared" si="115"/>
        <v>43936</v>
      </c>
      <c r="E399" s="77" t="str">
        <f t="shared" si="119"/>
        <v>No</v>
      </c>
      <c r="F399" s="75">
        <f t="shared" si="120"/>
        <v>5</v>
      </c>
      <c r="G399" s="78">
        <f t="shared" si="121"/>
        <v>0</v>
      </c>
      <c r="H399" s="77">
        <f t="shared" si="129"/>
        <v>44211</v>
      </c>
      <c r="I399" s="77" t="str">
        <f t="shared" si="122"/>
        <v>No</v>
      </c>
      <c r="J399" s="75">
        <f t="shared" si="123"/>
        <v>2</v>
      </c>
      <c r="K399" s="78">
        <f t="shared" si="130"/>
        <v>0</v>
      </c>
      <c r="L399" s="61">
        <v>43859</v>
      </c>
      <c r="M399" s="62">
        <f t="shared" si="124"/>
        <v>25100000</v>
      </c>
      <c r="N399" s="62"/>
      <c r="O399" s="62"/>
      <c r="P399" s="62"/>
      <c r="Q399" s="63">
        <f t="shared" si="133"/>
        <v>0.13</v>
      </c>
      <c r="R399" s="63">
        <f t="shared" si="132"/>
        <v>0</v>
      </c>
      <c r="S399" s="63">
        <f t="shared" si="125"/>
        <v>0.13</v>
      </c>
      <c r="T399" s="62">
        <f t="shared" si="126"/>
        <v>9063.8888888888887</v>
      </c>
      <c r="U399" s="62">
        <f t="shared" si="116"/>
        <v>3627452.7811111389</v>
      </c>
      <c r="V399" s="67">
        <f t="shared" si="117"/>
        <v>0</v>
      </c>
      <c r="W399" s="64"/>
      <c r="X399" s="62"/>
      <c r="Y399" s="98">
        <f t="shared" si="131"/>
        <v>0.13</v>
      </c>
      <c r="Z399" s="62">
        <f t="shared" si="118"/>
        <v>9063.8888888888887</v>
      </c>
      <c r="AA399" s="62">
        <f t="shared" si="127"/>
        <v>4455144.4444444701</v>
      </c>
      <c r="AB399" s="64"/>
      <c r="AC399" s="62"/>
      <c r="AD399" s="11"/>
    </row>
    <row r="400" spans="1:30" x14ac:dyDescent="0.35">
      <c r="A400" s="75" t="str">
        <f t="shared" si="113"/>
        <v>No</v>
      </c>
      <c r="B400" s="75">
        <f t="shared" si="128"/>
        <v>13</v>
      </c>
      <c r="C400" s="76">
        <f t="shared" si="114"/>
        <v>0</v>
      </c>
      <c r="D400" s="77">
        <f t="shared" si="115"/>
        <v>43936</v>
      </c>
      <c r="E400" s="77" t="str">
        <f t="shared" si="119"/>
        <v>No</v>
      </c>
      <c r="F400" s="75">
        <f t="shared" si="120"/>
        <v>5</v>
      </c>
      <c r="G400" s="78">
        <f t="shared" si="121"/>
        <v>0</v>
      </c>
      <c r="H400" s="77">
        <f t="shared" si="129"/>
        <v>44211</v>
      </c>
      <c r="I400" s="77" t="str">
        <f t="shared" si="122"/>
        <v>No</v>
      </c>
      <c r="J400" s="75">
        <f t="shared" si="123"/>
        <v>2</v>
      </c>
      <c r="K400" s="78">
        <f t="shared" si="130"/>
        <v>0</v>
      </c>
      <c r="L400" s="61">
        <v>43860</v>
      </c>
      <c r="M400" s="62">
        <f t="shared" si="124"/>
        <v>25100000</v>
      </c>
      <c r="N400" s="62"/>
      <c r="O400" s="62"/>
      <c r="P400" s="62"/>
      <c r="Q400" s="63">
        <f t="shared" si="133"/>
        <v>0.13</v>
      </c>
      <c r="R400" s="63">
        <f t="shared" si="132"/>
        <v>0</v>
      </c>
      <c r="S400" s="63">
        <f t="shared" si="125"/>
        <v>0.13</v>
      </c>
      <c r="T400" s="62">
        <f t="shared" si="126"/>
        <v>9063.8888888888887</v>
      </c>
      <c r="U400" s="62">
        <f t="shared" si="116"/>
        <v>3636516.6700000279</v>
      </c>
      <c r="V400" s="67">
        <f t="shared" si="117"/>
        <v>0</v>
      </c>
      <c r="W400" s="64"/>
      <c r="X400" s="62"/>
      <c r="Y400" s="98">
        <f t="shared" si="131"/>
        <v>0.13</v>
      </c>
      <c r="Z400" s="62">
        <f t="shared" si="118"/>
        <v>9063.8888888888887</v>
      </c>
      <c r="AA400" s="62">
        <f t="shared" si="127"/>
        <v>4464208.3333333591</v>
      </c>
      <c r="AB400" s="64"/>
      <c r="AC400" s="62"/>
      <c r="AD400" s="11"/>
    </row>
    <row r="401" spans="1:30" x14ac:dyDescent="0.35">
      <c r="A401" s="75" t="str">
        <f t="shared" si="113"/>
        <v>No</v>
      </c>
      <c r="B401" s="75">
        <f t="shared" si="128"/>
        <v>13</v>
      </c>
      <c r="C401" s="76">
        <f t="shared" si="114"/>
        <v>0</v>
      </c>
      <c r="D401" s="77">
        <f t="shared" si="115"/>
        <v>43936</v>
      </c>
      <c r="E401" s="77" t="str">
        <f t="shared" si="119"/>
        <v>No</v>
      </c>
      <c r="F401" s="75">
        <f t="shared" si="120"/>
        <v>5</v>
      </c>
      <c r="G401" s="78">
        <f t="shared" si="121"/>
        <v>0</v>
      </c>
      <c r="H401" s="77">
        <f t="shared" si="129"/>
        <v>44211</v>
      </c>
      <c r="I401" s="77" t="str">
        <f t="shared" si="122"/>
        <v>No</v>
      </c>
      <c r="J401" s="75">
        <f t="shared" si="123"/>
        <v>2</v>
      </c>
      <c r="K401" s="78">
        <f t="shared" si="130"/>
        <v>0</v>
      </c>
      <c r="L401" s="61">
        <v>43861</v>
      </c>
      <c r="M401" s="62">
        <f t="shared" si="124"/>
        <v>25100000</v>
      </c>
      <c r="N401" s="62"/>
      <c r="O401" s="62"/>
      <c r="P401" s="62"/>
      <c r="Q401" s="63">
        <f t="shared" si="133"/>
        <v>0.13</v>
      </c>
      <c r="R401" s="63">
        <f t="shared" si="132"/>
        <v>0</v>
      </c>
      <c r="S401" s="63">
        <f t="shared" si="125"/>
        <v>0.13</v>
      </c>
      <c r="T401" s="62">
        <f t="shared" si="126"/>
        <v>9063.8888888888887</v>
      </c>
      <c r="U401" s="62">
        <f t="shared" si="116"/>
        <v>3645580.5588889169</v>
      </c>
      <c r="V401" s="67">
        <f t="shared" si="117"/>
        <v>0</v>
      </c>
      <c r="W401" s="64"/>
      <c r="X401" s="62"/>
      <c r="Y401" s="98">
        <f t="shared" si="131"/>
        <v>0.13</v>
      </c>
      <c r="Z401" s="62">
        <f t="shared" si="118"/>
        <v>9063.8888888888887</v>
      </c>
      <c r="AA401" s="62">
        <f t="shared" si="127"/>
        <v>4473272.2222222481</v>
      </c>
      <c r="AB401" s="64"/>
      <c r="AC401" s="62"/>
      <c r="AD401" s="11"/>
    </row>
    <row r="402" spans="1:30" x14ac:dyDescent="0.35">
      <c r="A402" s="75" t="str">
        <f t="shared" si="113"/>
        <v>No</v>
      </c>
      <c r="B402" s="75">
        <f t="shared" si="128"/>
        <v>13</v>
      </c>
      <c r="C402" s="76">
        <f t="shared" si="114"/>
        <v>0</v>
      </c>
      <c r="D402" s="77">
        <f t="shared" si="115"/>
        <v>43936</v>
      </c>
      <c r="E402" s="77" t="str">
        <f t="shared" si="119"/>
        <v>No</v>
      </c>
      <c r="F402" s="75">
        <f t="shared" si="120"/>
        <v>5</v>
      </c>
      <c r="G402" s="78">
        <f t="shared" si="121"/>
        <v>0</v>
      </c>
      <c r="H402" s="77">
        <f t="shared" si="129"/>
        <v>44211</v>
      </c>
      <c r="I402" s="77" t="str">
        <f t="shared" si="122"/>
        <v>No</v>
      </c>
      <c r="J402" s="75">
        <f t="shared" si="123"/>
        <v>2</v>
      </c>
      <c r="K402" s="78">
        <f t="shared" si="130"/>
        <v>0</v>
      </c>
      <c r="L402" s="61">
        <v>43862</v>
      </c>
      <c r="M402" s="62">
        <f t="shared" si="124"/>
        <v>25100000</v>
      </c>
      <c r="N402" s="62"/>
      <c r="O402" s="62"/>
      <c r="P402" s="62"/>
      <c r="Q402" s="63">
        <f t="shared" si="133"/>
        <v>0.13</v>
      </c>
      <c r="R402" s="63">
        <f t="shared" si="132"/>
        <v>0</v>
      </c>
      <c r="S402" s="63">
        <f t="shared" si="125"/>
        <v>0.13</v>
      </c>
      <c r="T402" s="62">
        <f t="shared" si="126"/>
        <v>9063.8888888888887</v>
      </c>
      <c r="U402" s="62">
        <f t="shared" si="116"/>
        <v>3654644.4477778058</v>
      </c>
      <c r="V402" s="67">
        <f t="shared" si="117"/>
        <v>0</v>
      </c>
      <c r="W402" s="64"/>
      <c r="X402" s="62"/>
      <c r="Y402" s="98">
        <f t="shared" si="131"/>
        <v>0.13</v>
      </c>
      <c r="Z402" s="62">
        <f t="shared" si="118"/>
        <v>9063.8888888888887</v>
      </c>
      <c r="AA402" s="62">
        <f t="shared" si="127"/>
        <v>4482336.1111111371</v>
      </c>
      <c r="AB402" s="64"/>
      <c r="AC402" s="62"/>
      <c r="AD402" s="11"/>
    </row>
    <row r="403" spans="1:30" x14ac:dyDescent="0.35">
      <c r="A403" s="75" t="str">
        <f t="shared" si="113"/>
        <v>No</v>
      </c>
      <c r="B403" s="75">
        <f t="shared" si="128"/>
        <v>13</v>
      </c>
      <c r="C403" s="76">
        <f t="shared" si="114"/>
        <v>0</v>
      </c>
      <c r="D403" s="77">
        <f t="shared" si="115"/>
        <v>43936</v>
      </c>
      <c r="E403" s="77" t="str">
        <f t="shared" si="119"/>
        <v>No</v>
      </c>
      <c r="F403" s="75">
        <f t="shared" si="120"/>
        <v>5</v>
      </c>
      <c r="G403" s="78">
        <f t="shared" si="121"/>
        <v>0</v>
      </c>
      <c r="H403" s="77">
        <f t="shared" si="129"/>
        <v>44211</v>
      </c>
      <c r="I403" s="77" t="str">
        <f t="shared" si="122"/>
        <v>No</v>
      </c>
      <c r="J403" s="75">
        <f t="shared" si="123"/>
        <v>2</v>
      </c>
      <c r="K403" s="78">
        <f t="shared" si="130"/>
        <v>0</v>
      </c>
      <c r="L403" s="61">
        <v>43863</v>
      </c>
      <c r="M403" s="62">
        <f t="shared" si="124"/>
        <v>25100000</v>
      </c>
      <c r="N403" s="62"/>
      <c r="O403" s="62"/>
      <c r="P403" s="62"/>
      <c r="Q403" s="63">
        <f t="shared" si="133"/>
        <v>0.13</v>
      </c>
      <c r="R403" s="63">
        <f t="shared" si="132"/>
        <v>0</v>
      </c>
      <c r="S403" s="63">
        <f t="shared" si="125"/>
        <v>0.13</v>
      </c>
      <c r="T403" s="62">
        <f t="shared" si="126"/>
        <v>9063.8888888888887</v>
      </c>
      <c r="U403" s="62">
        <f t="shared" si="116"/>
        <v>3663708.3366666948</v>
      </c>
      <c r="V403" s="67">
        <f t="shared" si="117"/>
        <v>0</v>
      </c>
      <c r="W403" s="64"/>
      <c r="X403" s="62"/>
      <c r="Y403" s="98">
        <f t="shared" si="131"/>
        <v>0.13</v>
      </c>
      <c r="Z403" s="62">
        <f t="shared" si="118"/>
        <v>9063.8888888888887</v>
      </c>
      <c r="AA403" s="62">
        <f t="shared" si="127"/>
        <v>4491400.0000000261</v>
      </c>
      <c r="AB403" s="64"/>
      <c r="AC403" s="62"/>
      <c r="AD403" s="11"/>
    </row>
    <row r="404" spans="1:30" x14ac:dyDescent="0.35">
      <c r="A404" s="75" t="str">
        <f t="shared" ref="A404:A435" si="134">IF(DAY(L404)=DAY(nFirst),"Yes","No")</f>
        <v>No</v>
      </c>
      <c r="B404" s="75">
        <f t="shared" si="128"/>
        <v>13</v>
      </c>
      <c r="C404" s="76">
        <f t="shared" ref="C404:C435" si="135">IF(A404="Yes",SUMIFS($T$20:$T$435,$B$20:$B$435,B404-1),0)</f>
        <v>0</v>
      </c>
      <c r="D404" s="77">
        <f t="shared" ref="D404:D435" si="136">IF(AND(L404&gt;L403,L404&lt;D403),D403,EDATE(L404,3))</f>
        <v>43936</v>
      </c>
      <c r="E404" s="77" t="str">
        <f t="shared" si="119"/>
        <v>No</v>
      </c>
      <c r="F404" s="75">
        <f t="shared" si="120"/>
        <v>5</v>
      </c>
      <c r="G404" s="78">
        <f t="shared" si="121"/>
        <v>0</v>
      </c>
      <c r="H404" s="77">
        <f t="shared" si="129"/>
        <v>44211</v>
      </c>
      <c r="I404" s="77" t="str">
        <f t="shared" si="122"/>
        <v>No</v>
      </c>
      <c r="J404" s="75">
        <f t="shared" si="123"/>
        <v>2</v>
      </c>
      <c r="K404" s="78">
        <f t="shared" si="130"/>
        <v>0</v>
      </c>
      <c r="L404" s="61">
        <v>43864</v>
      </c>
      <c r="M404" s="62">
        <f t="shared" si="124"/>
        <v>25100000</v>
      </c>
      <c r="N404" s="62"/>
      <c r="O404" s="62"/>
      <c r="P404" s="62"/>
      <c r="Q404" s="63">
        <f t="shared" si="133"/>
        <v>0.13</v>
      </c>
      <c r="R404" s="63">
        <f t="shared" si="132"/>
        <v>0</v>
      </c>
      <c r="S404" s="63">
        <f t="shared" si="125"/>
        <v>0.13</v>
      </c>
      <c r="T404" s="62">
        <f t="shared" si="126"/>
        <v>9063.8888888888887</v>
      </c>
      <c r="U404" s="62">
        <f t="shared" ref="U404:U435" si="137">T404+U403+W403+X403</f>
        <v>3672772.2255555838</v>
      </c>
      <c r="V404" s="67">
        <f t="shared" ref="V404:V435" si="138">IF(rngFrequency="Monthly",C404,IF(rngFrequency="Quarterly",G404,IF(rngFrequency="Yearly",K404,FALSE)))</f>
        <v>0</v>
      </c>
      <c r="W404" s="64"/>
      <c r="X404" s="62"/>
      <c r="Y404" s="98">
        <f t="shared" si="131"/>
        <v>0.13</v>
      </c>
      <c r="Z404" s="62">
        <f t="shared" ref="Z404:Z435" si="139">M404*Y404*(1/360)</f>
        <v>9063.8888888888887</v>
      </c>
      <c r="AA404" s="62">
        <f t="shared" si="127"/>
        <v>4500463.8888889151</v>
      </c>
      <c r="AB404" s="64"/>
      <c r="AC404" s="62"/>
      <c r="AD404" s="11"/>
    </row>
    <row r="405" spans="1:30" x14ac:dyDescent="0.35">
      <c r="A405" s="75" t="str">
        <f t="shared" si="134"/>
        <v>No</v>
      </c>
      <c r="B405" s="75">
        <f t="shared" si="128"/>
        <v>13</v>
      </c>
      <c r="C405" s="76">
        <f t="shared" si="135"/>
        <v>0</v>
      </c>
      <c r="D405" s="77">
        <f t="shared" si="136"/>
        <v>43936</v>
      </c>
      <c r="E405" s="77" t="str">
        <f t="shared" ref="E405:E435" si="140">IF(D405=D404,"No","Yes")</f>
        <v>No</v>
      </c>
      <c r="F405" s="75">
        <f t="shared" ref="F405:F435" si="141">IF(E405="Yes",F404+1,F404)</f>
        <v>5</v>
      </c>
      <c r="G405" s="78">
        <f t="shared" ref="G405:G435" si="142">IF(E405="Yes",SUMIFS($T$20:$T$435,$F$20:$F$435,F405-1),0)</f>
        <v>0</v>
      </c>
      <c r="H405" s="77">
        <f t="shared" si="129"/>
        <v>44211</v>
      </c>
      <c r="I405" s="77" t="str">
        <f t="shared" ref="I405:I435" si="143">IF(H405=H404,"No","Yes")</f>
        <v>No</v>
      </c>
      <c r="J405" s="75">
        <f t="shared" ref="J405:J435" si="144">IF(I405="Yes",J404+1,J404)</f>
        <v>2</v>
      </c>
      <c r="K405" s="78">
        <f t="shared" si="130"/>
        <v>0</v>
      </c>
      <c r="L405" s="61">
        <v>43865</v>
      </c>
      <c r="M405" s="62">
        <f t="shared" ref="M405:M435" si="145">M404+N405+O405+P405</f>
        <v>25100000</v>
      </c>
      <c r="N405" s="62"/>
      <c r="O405" s="62"/>
      <c r="P405" s="62"/>
      <c r="Q405" s="63">
        <f t="shared" si="133"/>
        <v>0.13</v>
      </c>
      <c r="R405" s="63">
        <f t="shared" si="132"/>
        <v>0</v>
      </c>
      <c r="S405" s="63">
        <f t="shared" ref="S405:S435" si="146">Q405+R405</f>
        <v>0.13</v>
      </c>
      <c r="T405" s="62">
        <f t="shared" ref="T405:T434" si="147">M405*S405*(1/360)</f>
        <v>9063.8888888888887</v>
      </c>
      <c r="U405" s="62">
        <f t="shared" si="137"/>
        <v>3681836.1144444728</v>
      </c>
      <c r="V405" s="67">
        <f t="shared" si="138"/>
        <v>0</v>
      </c>
      <c r="W405" s="64"/>
      <c r="X405" s="62"/>
      <c r="Y405" s="98">
        <f t="shared" si="131"/>
        <v>0.13</v>
      </c>
      <c r="Z405" s="62">
        <f t="shared" si="139"/>
        <v>9063.8888888888887</v>
      </c>
      <c r="AA405" s="62">
        <f t="shared" ref="AA405:AA435" si="148">Z405+AA404+AB404+AC404</f>
        <v>4509527.7777778041</v>
      </c>
      <c r="AB405" s="64"/>
      <c r="AC405" s="62"/>
      <c r="AD405" s="11"/>
    </row>
    <row r="406" spans="1:30" x14ac:dyDescent="0.35">
      <c r="A406" s="75" t="str">
        <f t="shared" si="134"/>
        <v>No</v>
      </c>
      <c r="B406" s="75">
        <f t="shared" ref="B406:B435" si="149">IF(A406="Yes",B405+1,B405)</f>
        <v>13</v>
      </c>
      <c r="C406" s="76">
        <f t="shared" si="135"/>
        <v>0</v>
      </c>
      <c r="D406" s="77">
        <f t="shared" si="136"/>
        <v>43936</v>
      </c>
      <c r="E406" s="77" t="str">
        <f t="shared" si="140"/>
        <v>No</v>
      </c>
      <c r="F406" s="75">
        <f t="shared" si="141"/>
        <v>5</v>
      </c>
      <c r="G406" s="78">
        <f t="shared" si="142"/>
        <v>0</v>
      </c>
      <c r="H406" s="77">
        <f t="shared" ref="H406:H435" si="150">IF(AND(L406&gt;L405,L406&lt;H405),H405,EDATE(L406,12))</f>
        <v>44211</v>
      </c>
      <c r="I406" s="77" t="str">
        <f t="shared" si="143"/>
        <v>No</v>
      </c>
      <c r="J406" s="75">
        <f t="shared" si="144"/>
        <v>2</v>
      </c>
      <c r="K406" s="78">
        <f t="shared" si="130"/>
        <v>0</v>
      </c>
      <c r="L406" s="61">
        <v>43866</v>
      </c>
      <c r="M406" s="62">
        <f t="shared" si="145"/>
        <v>25100000</v>
      </c>
      <c r="N406" s="62"/>
      <c r="O406" s="62"/>
      <c r="P406" s="62"/>
      <c r="Q406" s="63">
        <f t="shared" si="133"/>
        <v>0.13</v>
      </c>
      <c r="R406" s="63">
        <f t="shared" si="132"/>
        <v>0</v>
      </c>
      <c r="S406" s="63">
        <f t="shared" si="146"/>
        <v>0.13</v>
      </c>
      <c r="T406" s="62">
        <f t="shared" si="147"/>
        <v>9063.8888888888887</v>
      </c>
      <c r="U406" s="62">
        <f t="shared" si="137"/>
        <v>3690900.0033333618</v>
      </c>
      <c r="V406" s="67">
        <f t="shared" si="138"/>
        <v>0</v>
      </c>
      <c r="W406" s="64"/>
      <c r="X406" s="62"/>
      <c r="Y406" s="98">
        <f t="shared" si="131"/>
        <v>0.13</v>
      </c>
      <c r="Z406" s="62">
        <f t="shared" si="139"/>
        <v>9063.8888888888887</v>
      </c>
      <c r="AA406" s="62">
        <f t="shared" si="148"/>
        <v>4518591.6666666931</v>
      </c>
      <c r="AB406" s="64"/>
      <c r="AC406" s="62"/>
      <c r="AD406" s="11"/>
    </row>
    <row r="407" spans="1:30" x14ac:dyDescent="0.35">
      <c r="A407" s="75" t="str">
        <f t="shared" si="134"/>
        <v>No</v>
      </c>
      <c r="B407" s="75">
        <f t="shared" si="149"/>
        <v>13</v>
      </c>
      <c r="C407" s="76">
        <f t="shared" si="135"/>
        <v>0</v>
      </c>
      <c r="D407" s="77">
        <f t="shared" si="136"/>
        <v>43936</v>
      </c>
      <c r="E407" s="77" t="str">
        <f t="shared" si="140"/>
        <v>No</v>
      </c>
      <c r="F407" s="75">
        <f t="shared" si="141"/>
        <v>5</v>
      </c>
      <c r="G407" s="78">
        <f t="shared" si="142"/>
        <v>0</v>
      </c>
      <c r="H407" s="77">
        <f t="shared" si="150"/>
        <v>44211</v>
      </c>
      <c r="I407" s="77" t="str">
        <f t="shared" si="143"/>
        <v>No</v>
      </c>
      <c r="J407" s="75">
        <f t="shared" si="144"/>
        <v>2</v>
      </c>
      <c r="K407" s="78">
        <f t="shared" si="130"/>
        <v>0</v>
      </c>
      <c r="L407" s="61">
        <v>43867</v>
      </c>
      <c r="M407" s="62">
        <f t="shared" si="145"/>
        <v>25100000</v>
      </c>
      <c r="N407" s="62"/>
      <c r="O407" s="62"/>
      <c r="P407" s="62"/>
      <c r="Q407" s="63">
        <f t="shared" si="133"/>
        <v>0.13</v>
      </c>
      <c r="R407" s="63">
        <f t="shared" si="132"/>
        <v>0</v>
      </c>
      <c r="S407" s="63">
        <f t="shared" si="146"/>
        <v>0.13</v>
      </c>
      <c r="T407" s="62">
        <f t="shared" si="147"/>
        <v>9063.8888888888887</v>
      </c>
      <c r="U407" s="62">
        <f t="shared" si="137"/>
        <v>3699963.8922222508</v>
      </c>
      <c r="V407" s="67">
        <f t="shared" si="138"/>
        <v>0</v>
      </c>
      <c r="W407" s="64"/>
      <c r="X407" s="62"/>
      <c r="Y407" s="98">
        <f t="shared" si="131"/>
        <v>0.13</v>
      </c>
      <c r="Z407" s="62">
        <f t="shared" si="139"/>
        <v>9063.8888888888887</v>
      </c>
      <c r="AA407" s="62">
        <f t="shared" si="148"/>
        <v>4527655.555555582</v>
      </c>
      <c r="AB407" s="64"/>
      <c r="AC407" s="62"/>
      <c r="AD407" s="11"/>
    </row>
    <row r="408" spans="1:30" x14ac:dyDescent="0.35">
      <c r="A408" s="75" t="str">
        <f t="shared" si="134"/>
        <v>No</v>
      </c>
      <c r="B408" s="75">
        <f t="shared" si="149"/>
        <v>13</v>
      </c>
      <c r="C408" s="76">
        <f t="shared" si="135"/>
        <v>0</v>
      </c>
      <c r="D408" s="77">
        <f t="shared" si="136"/>
        <v>43936</v>
      </c>
      <c r="E408" s="77" t="str">
        <f t="shared" si="140"/>
        <v>No</v>
      </c>
      <c r="F408" s="75">
        <f t="shared" si="141"/>
        <v>5</v>
      </c>
      <c r="G408" s="78">
        <f t="shared" si="142"/>
        <v>0</v>
      </c>
      <c r="H408" s="77">
        <f t="shared" si="150"/>
        <v>44211</v>
      </c>
      <c r="I408" s="77" t="str">
        <f t="shared" si="143"/>
        <v>No</v>
      </c>
      <c r="J408" s="75">
        <f t="shared" si="144"/>
        <v>2</v>
      </c>
      <c r="K408" s="78">
        <f t="shared" si="130"/>
        <v>0</v>
      </c>
      <c r="L408" s="61">
        <v>43868</v>
      </c>
      <c r="M408" s="62">
        <f t="shared" si="145"/>
        <v>25100000</v>
      </c>
      <c r="N408" s="62"/>
      <c r="O408" s="62"/>
      <c r="P408" s="62"/>
      <c r="Q408" s="63">
        <f t="shared" si="133"/>
        <v>0.13</v>
      </c>
      <c r="R408" s="63">
        <f t="shared" si="132"/>
        <v>0</v>
      </c>
      <c r="S408" s="63">
        <f t="shared" si="146"/>
        <v>0.13</v>
      </c>
      <c r="T408" s="62">
        <f t="shared" si="147"/>
        <v>9063.8888888888887</v>
      </c>
      <c r="U408" s="62">
        <f t="shared" si="137"/>
        <v>3709027.7811111398</v>
      </c>
      <c r="V408" s="67">
        <f t="shared" si="138"/>
        <v>0</v>
      </c>
      <c r="W408" s="64"/>
      <c r="X408" s="62"/>
      <c r="Y408" s="98">
        <f t="shared" si="131"/>
        <v>0.13</v>
      </c>
      <c r="Z408" s="62">
        <f t="shared" si="139"/>
        <v>9063.8888888888887</v>
      </c>
      <c r="AA408" s="62">
        <f t="shared" si="148"/>
        <v>4536719.444444471</v>
      </c>
      <c r="AB408" s="64"/>
      <c r="AC408" s="62"/>
      <c r="AD408" s="11"/>
    </row>
    <row r="409" spans="1:30" x14ac:dyDescent="0.35">
      <c r="A409" s="75" t="str">
        <f t="shared" si="134"/>
        <v>No</v>
      </c>
      <c r="B409" s="75">
        <f t="shared" si="149"/>
        <v>13</v>
      </c>
      <c r="C409" s="76">
        <f t="shared" si="135"/>
        <v>0</v>
      </c>
      <c r="D409" s="77">
        <f t="shared" si="136"/>
        <v>43936</v>
      </c>
      <c r="E409" s="77" t="str">
        <f t="shared" si="140"/>
        <v>No</v>
      </c>
      <c r="F409" s="75">
        <f t="shared" si="141"/>
        <v>5</v>
      </c>
      <c r="G409" s="78">
        <f t="shared" si="142"/>
        <v>0</v>
      </c>
      <c r="H409" s="77">
        <f t="shared" si="150"/>
        <v>44211</v>
      </c>
      <c r="I409" s="77" t="str">
        <f t="shared" si="143"/>
        <v>No</v>
      </c>
      <c r="J409" s="75">
        <f t="shared" si="144"/>
        <v>2</v>
      </c>
      <c r="K409" s="78">
        <f t="shared" si="130"/>
        <v>0</v>
      </c>
      <c r="L409" s="61">
        <v>43869</v>
      </c>
      <c r="M409" s="62">
        <f t="shared" si="145"/>
        <v>25100000</v>
      </c>
      <c r="N409" s="62"/>
      <c r="O409" s="62"/>
      <c r="P409" s="62"/>
      <c r="Q409" s="63">
        <f t="shared" si="133"/>
        <v>0.13</v>
      </c>
      <c r="R409" s="63">
        <f t="shared" si="132"/>
        <v>0</v>
      </c>
      <c r="S409" s="63">
        <f t="shared" si="146"/>
        <v>0.13</v>
      </c>
      <c r="T409" s="62">
        <f t="shared" si="147"/>
        <v>9063.8888888888887</v>
      </c>
      <c r="U409" s="62">
        <f t="shared" si="137"/>
        <v>3718091.6700000288</v>
      </c>
      <c r="V409" s="67">
        <f t="shared" si="138"/>
        <v>0</v>
      </c>
      <c r="W409" s="64"/>
      <c r="X409" s="62"/>
      <c r="Y409" s="98">
        <f t="shared" si="131"/>
        <v>0.13</v>
      </c>
      <c r="Z409" s="62">
        <f t="shared" si="139"/>
        <v>9063.8888888888887</v>
      </c>
      <c r="AA409" s="62">
        <f t="shared" si="148"/>
        <v>4545783.33333336</v>
      </c>
      <c r="AB409" s="64"/>
      <c r="AC409" s="62"/>
      <c r="AD409" s="11"/>
    </row>
    <row r="410" spans="1:30" x14ac:dyDescent="0.35">
      <c r="A410" s="75" t="str">
        <f t="shared" si="134"/>
        <v>No</v>
      </c>
      <c r="B410" s="75">
        <f t="shared" si="149"/>
        <v>13</v>
      </c>
      <c r="C410" s="76">
        <f t="shared" si="135"/>
        <v>0</v>
      </c>
      <c r="D410" s="77">
        <f t="shared" si="136"/>
        <v>43936</v>
      </c>
      <c r="E410" s="77" t="str">
        <f t="shared" si="140"/>
        <v>No</v>
      </c>
      <c r="F410" s="75">
        <f t="shared" si="141"/>
        <v>5</v>
      </c>
      <c r="G410" s="78">
        <f t="shared" si="142"/>
        <v>0</v>
      </c>
      <c r="H410" s="77">
        <f t="shared" si="150"/>
        <v>44211</v>
      </c>
      <c r="I410" s="77" t="str">
        <f t="shared" si="143"/>
        <v>No</v>
      </c>
      <c r="J410" s="75">
        <f t="shared" si="144"/>
        <v>2</v>
      </c>
      <c r="K410" s="78">
        <f t="shared" si="130"/>
        <v>0</v>
      </c>
      <c r="L410" s="61">
        <v>43870</v>
      </c>
      <c r="M410" s="62">
        <f t="shared" si="145"/>
        <v>25100000</v>
      </c>
      <c r="N410" s="62"/>
      <c r="O410" s="62"/>
      <c r="P410" s="62"/>
      <c r="Q410" s="63">
        <f t="shared" si="133"/>
        <v>0.13</v>
      </c>
      <c r="R410" s="63">
        <f t="shared" si="132"/>
        <v>0</v>
      </c>
      <c r="S410" s="63">
        <f t="shared" si="146"/>
        <v>0.13</v>
      </c>
      <c r="T410" s="62">
        <f t="shared" si="147"/>
        <v>9063.8888888888887</v>
      </c>
      <c r="U410" s="62">
        <f t="shared" si="137"/>
        <v>3727155.5588889178</v>
      </c>
      <c r="V410" s="67">
        <f t="shared" si="138"/>
        <v>0</v>
      </c>
      <c r="W410" s="64"/>
      <c r="X410" s="62"/>
      <c r="Y410" s="98">
        <f t="shared" si="131"/>
        <v>0.13</v>
      </c>
      <c r="Z410" s="62">
        <f t="shared" si="139"/>
        <v>9063.8888888888887</v>
      </c>
      <c r="AA410" s="62">
        <f t="shared" si="148"/>
        <v>4554847.222222249</v>
      </c>
      <c r="AB410" s="64"/>
      <c r="AC410" s="62"/>
      <c r="AD410" s="11"/>
    </row>
    <row r="411" spans="1:30" x14ac:dyDescent="0.35">
      <c r="A411" s="75" t="str">
        <f t="shared" si="134"/>
        <v>No</v>
      </c>
      <c r="B411" s="75">
        <f t="shared" si="149"/>
        <v>13</v>
      </c>
      <c r="C411" s="76">
        <f t="shared" si="135"/>
        <v>0</v>
      </c>
      <c r="D411" s="77">
        <f t="shared" si="136"/>
        <v>43936</v>
      </c>
      <c r="E411" s="77" t="str">
        <f t="shared" si="140"/>
        <v>No</v>
      </c>
      <c r="F411" s="75">
        <f t="shared" si="141"/>
        <v>5</v>
      </c>
      <c r="G411" s="78">
        <f t="shared" si="142"/>
        <v>0</v>
      </c>
      <c r="H411" s="77">
        <f t="shared" si="150"/>
        <v>44211</v>
      </c>
      <c r="I411" s="77" t="str">
        <f t="shared" si="143"/>
        <v>No</v>
      </c>
      <c r="J411" s="75">
        <f t="shared" si="144"/>
        <v>2</v>
      </c>
      <c r="K411" s="78">
        <f t="shared" si="130"/>
        <v>0</v>
      </c>
      <c r="L411" s="61">
        <v>43871</v>
      </c>
      <c r="M411" s="62">
        <f t="shared" si="145"/>
        <v>25100000</v>
      </c>
      <c r="N411" s="62"/>
      <c r="O411" s="62"/>
      <c r="P411" s="62"/>
      <c r="Q411" s="63">
        <f t="shared" si="133"/>
        <v>0.13</v>
      </c>
      <c r="R411" s="63">
        <f t="shared" si="132"/>
        <v>0</v>
      </c>
      <c r="S411" s="63">
        <f t="shared" si="146"/>
        <v>0.13</v>
      </c>
      <c r="T411" s="62">
        <f t="shared" si="147"/>
        <v>9063.8888888888887</v>
      </c>
      <c r="U411" s="62">
        <f t="shared" si="137"/>
        <v>3736219.4477778068</v>
      </c>
      <c r="V411" s="67">
        <f t="shared" si="138"/>
        <v>0</v>
      </c>
      <c r="W411" s="64"/>
      <c r="X411" s="62"/>
      <c r="Y411" s="98">
        <f t="shared" si="131"/>
        <v>0.13</v>
      </c>
      <c r="Z411" s="62">
        <f t="shared" si="139"/>
        <v>9063.8888888888887</v>
      </c>
      <c r="AA411" s="62">
        <f t="shared" si="148"/>
        <v>4563911.111111138</v>
      </c>
      <c r="AB411" s="64"/>
      <c r="AC411" s="62"/>
      <c r="AD411" s="11"/>
    </row>
    <row r="412" spans="1:30" x14ac:dyDescent="0.35">
      <c r="A412" s="75" t="str">
        <f t="shared" si="134"/>
        <v>No</v>
      </c>
      <c r="B412" s="75">
        <f t="shared" si="149"/>
        <v>13</v>
      </c>
      <c r="C412" s="76">
        <f t="shared" si="135"/>
        <v>0</v>
      </c>
      <c r="D412" s="77">
        <f t="shared" si="136"/>
        <v>43936</v>
      </c>
      <c r="E412" s="77" t="str">
        <f t="shared" si="140"/>
        <v>No</v>
      </c>
      <c r="F412" s="75">
        <f t="shared" si="141"/>
        <v>5</v>
      </c>
      <c r="G412" s="78">
        <f t="shared" si="142"/>
        <v>0</v>
      </c>
      <c r="H412" s="77">
        <f t="shared" si="150"/>
        <v>44211</v>
      </c>
      <c r="I412" s="77" t="str">
        <f t="shared" si="143"/>
        <v>No</v>
      </c>
      <c r="J412" s="75">
        <f t="shared" si="144"/>
        <v>2</v>
      </c>
      <c r="K412" s="78">
        <f t="shared" si="130"/>
        <v>0</v>
      </c>
      <c r="L412" s="61">
        <v>43872</v>
      </c>
      <c r="M412" s="62">
        <f t="shared" si="145"/>
        <v>25100000</v>
      </c>
      <c r="N412" s="62"/>
      <c r="O412" s="62"/>
      <c r="P412" s="62"/>
      <c r="Q412" s="63">
        <f t="shared" si="133"/>
        <v>0.13</v>
      </c>
      <c r="R412" s="63">
        <f t="shared" si="132"/>
        <v>0</v>
      </c>
      <c r="S412" s="63">
        <f t="shared" si="146"/>
        <v>0.13</v>
      </c>
      <c r="T412" s="62">
        <f t="shared" si="147"/>
        <v>9063.8888888888887</v>
      </c>
      <c r="U412" s="62">
        <f t="shared" si="137"/>
        <v>3745283.3366666958</v>
      </c>
      <c r="V412" s="67">
        <f t="shared" si="138"/>
        <v>0</v>
      </c>
      <c r="W412" s="64"/>
      <c r="X412" s="62"/>
      <c r="Y412" s="98">
        <f t="shared" si="131"/>
        <v>0.13</v>
      </c>
      <c r="Z412" s="62">
        <f t="shared" si="139"/>
        <v>9063.8888888888887</v>
      </c>
      <c r="AA412" s="62">
        <f t="shared" si="148"/>
        <v>4572975.000000027</v>
      </c>
      <c r="AB412" s="64"/>
      <c r="AC412" s="62"/>
      <c r="AD412" s="11"/>
    </row>
    <row r="413" spans="1:30" x14ac:dyDescent="0.35">
      <c r="A413" s="75" t="str">
        <f t="shared" si="134"/>
        <v>No</v>
      </c>
      <c r="B413" s="75">
        <f t="shared" si="149"/>
        <v>13</v>
      </c>
      <c r="C413" s="76">
        <f t="shared" si="135"/>
        <v>0</v>
      </c>
      <c r="D413" s="77">
        <f t="shared" si="136"/>
        <v>43936</v>
      </c>
      <c r="E413" s="77" t="str">
        <f t="shared" si="140"/>
        <v>No</v>
      </c>
      <c r="F413" s="75">
        <f t="shared" si="141"/>
        <v>5</v>
      </c>
      <c r="G413" s="78">
        <f t="shared" si="142"/>
        <v>0</v>
      </c>
      <c r="H413" s="77">
        <f t="shared" si="150"/>
        <v>44211</v>
      </c>
      <c r="I413" s="77" t="str">
        <f t="shared" si="143"/>
        <v>No</v>
      </c>
      <c r="J413" s="75">
        <f t="shared" si="144"/>
        <v>2</v>
      </c>
      <c r="K413" s="78">
        <f t="shared" ref="K413:K435" si="151">IF(I413="Yes",SUMIFS($T$20:$T$435,$J$20:$J$435,J413-1),0)</f>
        <v>0</v>
      </c>
      <c r="L413" s="61">
        <v>43873</v>
      </c>
      <c r="M413" s="62">
        <f t="shared" si="145"/>
        <v>25100000</v>
      </c>
      <c r="N413" s="62"/>
      <c r="O413" s="62"/>
      <c r="P413" s="62"/>
      <c r="Q413" s="63">
        <f t="shared" si="133"/>
        <v>0.13</v>
      </c>
      <c r="R413" s="63">
        <f t="shared" si="132"/>
        <v>0</v>
      </c>
      <c r="S413" s="63">
        <f t="shared" si="146"/>
        <v>0.13</v>
      </c>
      <c r="T413" s="62">
        <f t="shared" si="147"/>
        <v>9063.8888888888887</v>
      </c>
      <c r="U413" s="62">
        <f t="shared" si="137"/>
        <v>3754347.2255555848</v>
      </c>
      <c r="V413" s="67">
        <f t="shared" si="138"/>
        <v>0</v>
      </c>
      <c r="W413" s="64"/>
      <c r="X413" s="62"/>
      <c r="Y413" s="98">
        <f t="shared" si="131"/>
        <v>0.13</v>
      </c>
      <c r="Z413" s="62">
        <f t="shared" si="139"/>
        <v>9063.8888888888887</v>
      </c>
      <c r="AA413" s="62">
        <f t="shared" si="148"/>
        <v>4582038.888888916</v>
      </c>
      <c r="AB413" s="64"/>
      <c r="AC413" s="62"/>
      <c r="AD413" s="11"/>
    </row>
    <row r="414" spans="1:30" x14ac:dyDescent="0.35">
      <c r="A414" s="75" t="str">
        <f t="shared" si="134"/>
        <v>No</v>
      </c>
      <c r="B414" s="75">
        <f t="shared" si="149"/>
        <v>13</v>
      </c>
      <c r="C414" s="76">
        <f t="shared" si="135"/>
        <v>0</v>
      </c>
      <c r="D414" s="77">
        <f t="shared" si="136"/>
        <v>43936</v>
      </c>
      <c r="E414" s="77" t="str">
        <f t="shared" si="140"/>
        <v>No</v>
      </c>
      <c r="F414" s="75">
        <f t="shared" si="141"/>
        <v>5</v>
      </c>
      <c r="G414" s="78">
        <f t="shared" si="142"/>
        <v>0</v>
      </c>
      <c r="H414" s="77">
        <f t="shared" si="150"/>
        <v>44211</v>
      </c>
      <c r="I414" s="77" t="str">
        <f t="shared" si="143"/>
        <v>No</v>
      </c>
      <c r="J414" s="75">
        <f t="shared" si="144"/>
        <v>2</v>
      </c>
      <c r="K414" s="78">
        <f t="shared" si="151"/>
        <v>0</v>
      </c>
      <c r="L414" s="61">
        <v>43874</v>
      </c>
      <c r="M414" s="62">
        <f t="shared" si="145"/>
        <v>25100000</v>
      </c>
      <c r="N414" s="62"/>
      <c r="O414" s="62"/>
      <c r="P414" s="62"/>
      <c r="Q414" s="63">
        <f t="shared" si="133"/>
        <v>0.13</v>
      </c>
      <c r="R414" s="63">
        <f t="shared" si="132"/>
        <v>0</v>
      </c>
      <c r="S414" s="63">
        <f t="shared" si="146"/>
        <v>0.13</v>
      </c>
      <c r="T414" s="62">
        <f t="shared" si="147"/>
        <v>9063.8888888888887</v>
      </c>
      <c r="U414" s="62">
        <f t="shared" si="137"/>
        <v>3763411.1144444738</v>
      </c>
      <c r="V414" s="67">
        <f t="shared" si="138"/>
        <v>0</v>
      </c>
      <c r="W414" s="64"/>
      <c r="X414" s="62"/>
      <c r="Y414" s="98">
        <f t="shared" si="131"/>
        <v>0.13</v>
      </c>
      <c r="Z414" s="62">
        <f t="shared" si="139"/>
        <v>9063.8888888888887</v>
      </c>
      <c r="AA414" s="62">
        <f t="shared" si="148"/>
        <v>4591102.777777805</v>
      </c>
      <c r="AB414" s="64"/>
      <c r="AC414" s="62"/>
      <c r="AD414" s="11"/>
    </row>
    <row r="415" spans="1:30" x14ac:dyDescent="0.35">
      <c r="A415" s="75" t="str">
        <f t="shared" si="134"/>
        <v>No</v>
      </c>
      <c r="B415" s="75">
        <f t="shared" si="149"/>
        <v>13</v>
      </c>
      <c r="C415" s="76">
        <f t="shared" si="135"/>
        <v>0</v>
      </c>
      <c r="D415" s="77">
        <f t="shared" si="136"/>
        <v>43936</v>
      </c>
      <c r="E415" s="77" t="str">
        <f t="shared" si="140"/>
        <v>No</v>
      </c>
      <c r="F415" s="75">
        <f t="shared" si="141"/>
        <v>5</v>
      </c>
      <c r="G415" s="78">
        <f t="shared" si="142"/>
        <v>0</v>
      </c>
      <c r="H415" s="77">
        <f t="shared" si="150"/>
        <v>44211</v>
      </c>
      <c r="I415" s="77" t="str">
        <f t="shared" si="143"/>
        <v>No</v>
      </c>
      <c r="J415" s="75">
        <f t="shared" si="144"/>
        <v>2</v>
      </c>
      <c r="K415" s="78">
        <f t="shared" si="151"/>
        <v>0</v>
      </c>
      <c r="L415" s="61">
        <v>43875</v>
      </c>
      <c r="M415" s="62">
        <f t="shared" si="145"/>
        <v>25100000</v>
      </c>
      <c r="N415" s="62"/>
      <c r="O415" s="62"/>
      <c r="P415" s="62"/>
      <c r="Q415" s="63">
        <f t="shared" si="133"/>
        <v>0.13</v>
      </c>
      <c r="R415" s="63">
        <f t="shared" si="132"/>
        <v>0</v>
      </c>
      <c r="S415" s="63">
        <f t="shared" si="146"/>
        <v>0.13</v>
      </c>
      <c r="T415" s="62">
        <f t="shared" si="147"/>
        <v>9063.8888888888887</v>
      </c>
      <c r="U415" s="62">
        <f t="shared" si="137"/>
        <v>3772475.0033333628</v>
      </c>
      <c r="V415" s="67">
        <f t="shared" si="138"/>
        <v>0</v>
      </c>
      <c r="W415" s="64"/>
      <c r="X415" s="62"/>
      <c r="Y415" s="98">
        <f t="shared" si="131"/>
        <v>0.13</v>
      </c>
      <c r="Z415" s="62">
        <f t="shared" si="139"/>
        <v>9063.8888888888887</v>
      </c>
      <c r="AA415" s="62">
        <f t="shared" si="148"/>
        <v>4600166.666666694</v>
      </c>
      <c r="AB415" s="64"/>
      <c r="AC415" s="62"/>
      <c r="AD415" s="11"/>
    </row>
    <row r="416" spans="1:30" x14ac:dyDescent="0.35">
      <c r="A416" s="75" t="str">
        <f t="shared" si="134"/>
        <v>Yes</v>
      </c>
      <c r="B416" s="75">
        <f t="shared" si="149"/>
        <v>14</v>
      </c>
      <c r="C416" s="76">
        <f t="shared" si="135"/>
        <v>280980.55555555539</v>
      </c>
      <c r="D416" s="77">
        <f t="shared" si="136"/>
        <v>43936</v>
      </c>
      <c r="E416" s="77" t="str">
        <f t="shared" si="140"/>
        <v>No</v>
      </c>
      <c r="F416" s="75">
        <f t="shared" si="141"/>
        <v>5</v>
      </c>
      <c r="G416" s="78">
        <f t="shared" si="142"/>
        <v>0</v>
      </c>
      <c r="H416" s="77">
        <f t="shared" si="150"/>
        <v>44211</v>
      </c>
      <c r="I416" s="77" t="str">
        <f t="shared" si="143"/>
        <v>No</v>
      </c>
      <c r="J416" s="75">
        <f t="shared" si="144"/>
        <v>2</v>
      </c>
      <c r="K416" s="78">
        <f t="shared" si="151"/>
        <v>0</v>
      </c>
      <c r="L416" s="61">
        <v>43876</v>
      </c>
      <c r="M416" s="62">
        <f t="shared" si="145"/>
        <v>25100000</v>
      </c>
      <c r="N416" s="62"/>
      <c r="O416" s="62"/>
      <c r="P416" s="62"/>
      <c r="Q416" s="63">
        <f t="shared" si="133"/>
        <v>0.13</v>
      </c>
      <c r="R416" s="63">
        <f t="shared" si="132"/>
        <v>0</v>
      </c>
      <c r="S416" s="63">
        <f t="shared" si="146"/>
        <v>0.13</v>
      </c>
      <c r="T416" s="62">
        <f t="shared" si="147"/>
        <v>9063.8888888888887</v>
      </c>
      <c r="U416" s="62">
        <f t="shared" si="137"/>
        <v>3781538.8922222517</v>
      </c>
      <c r="V416" s="67">
        <f t="shared" si="138"/>
        <v>280980.55555555539</v>
      </c>
      <c r="W416" s="64"/>
      <c r="X416" s="62"/>
      <c r="Y416" s="98">
        <f t="shared" si="131"/>
        <v>0.13</v>
      </c>
      <c r="Z416" s="62">
        <f t="shared" si="139"/>
        <v>9063.8888888888887</v>
      </c>
      <c r="AA416" s="62">
        <f t="shared" si="148"/>
        <v>4609230.555555583</v>
      </c>
      <c r="AB416" s="64"/>
      <c r="AC416" s="62"/>
      <c r="AD416" s="11"/>
    </row>
    <row r="417" spans="1:30" x14ac:dyDescent="0.35">
      <c r="A417" s="75" t="str">
        <f t="shared" si="134"/>
        <v>No</v>
      </c>
      <c r="B417" s="75">
        <f t="shared" si="149"/>
        <v>14</v>
      </c>
      <c r="C417" s="76">
        <f t="shared" si="135"/>
        <v>0</v>
      </c>
      <c r="D417" s="77">
        <f t="shared" si="136"/>
        <v>43936</v>
      </c>
      <c r="E417" s="77" t="str">
        <f t="shared" si="140"/>
        <v>No</v>
      </c>
      <c r="F417" s="75">
        <f t="shared" si="141"/>
        <v>5</v>
      </c>
      <c r="G417" s="78">
        <f t="shared" si="142"/>
        <v>0</v>
      </c>
      <c r="H417" s="77">
        <f t="shared" si="150"/>
        <v>44211</v>
      </c>
      <c r="I417" s="77" t="str">
        <f t="shared" si="143"/>
        <v>No</v>
      </c>
      <c r="J417" s="75">
        <f t="shared" si="144"/>
        <v>2</v>
      </c>
      <c r="K417" s="78">
        <f t="shared" si="151"/>
        <v>0</v>
      </c>
      <c r="L417" s="61">
        <v>43877</v>
      </c>
      <c r="M417" s="62">
        <f t="shared" si="145"/>
        <v>25100000</v>
      </c>
      <c r="N417" s="62"/>
      <c r="O417" s="62"/>
      <c r="P417" s="62"/>
      <c r="Q417" s="63">
        <f t="shared" si="133"/>
        <v>0.13</v>
      </c>
      <c r="R417" s="63">
        <f t="shared" si="132"/>
        <v>0</v>
      </c>
      <c r="S417" s="63">
        <f t="shared" si="146"/>
        <v>0.13</v>
      </c>
      <c r="T417" s="62">
        <f t="shared" si="147"/>
        <v>9063.8888888888887</v>
      </c>
      <c r="U417" s="62">
        <f t="shared" si="137"/>
        <v>3790602.7811111407</v>
      </c>
      <c r="V417" s="67">
        <f t="shared" si="138"/>
        <v>0</v>
      </c>
      <c r="W417" s="64"/>
      <c r="X417" s="62"/>
      <c r="Y417" s="98">
        <f t="shared" si="131"/>
        <v>0.13</v>
      </c>
      <c r="Z417" s="62">
        <f t="shared" si="139"/>
        <v>9063.8888888888887</v>
      </c>
      <c r="AA417" s="62">
        <f t="shared" si="148"/>
        <v>4618294.444444472</v>
      </c>
      <c r="AB417" s="64"/>
      <c r="AC417" s="62"/>
      <c r="AD417" s="11"/>
    </row>
    <row r="418" spans="1:30" x14ac:dyDescent="0.35">
      <c r="A418" s="75" t="str">
        <f t="shared" si="134"/>
        <v>No</v>
      </c>
      <c r="B418" s="75">
        <f t="shared" si="149"/>
        <v>14</v>
      </c>
      <c r="C418" s="76">
        <f t="shared" si="135"/>
        <v>0</v>
      </c>
      <c r="D418" s="77">
        <f t="shared" si="136"/>
        <v>43936</v>
      </c>
      <c r="E418" s="77" t="str">
        <f t="shared" si="140"/>
        <v>No</v>
      </c>
      <c r="F418" s="75">
        <f t="shared" si="141"/>
        <v>5</v>
      </c>
      <c r="G418" s="78">
        <f t="shared" si="142"/>
        <v>0</v>
      </c>
      <c r="H418" s="77">
        <f t="shared" si="150"/>
        <v>44211</v>
      </c>
      <c r="I418" s="77" t="str">
        <f t="shared" si="143"/>
        <v>No</v>
      </c>
      <c r="J418" s="75">
        <f t="shared" si="144"/>
        <v>2</v>
      </c>
      <c r="K418" s="78">
        <f t="shared" si="151"/>
        <v>0</v>
      </c>
      <c r="L418" s="61">
        <v>43878</v>
      </c>
      <c r="M418" s="62">
        <f t="shared" si="145"/>
        <v>25100000</v>
      </c>
      <c r="N418" s="62"/>
      <c r="O418" s="62"/>
      <c r="P418" s="62"/>
      <c r="Q418" s="63">
        <f t="shared" si="133"/>
        <v>0.13</v>
      </c>
      <c r="R418" s="63">
        <f t="shared" si="132"/>
        <v>0</v>
      </c>
      <c r="S418" s="63">
        <f t="shared" si="146"/>
        <v>0.13</v>
      </c>
      <c r="T418" s="62">
        <f t="shared" si="147"/>
        <v>9063.8888888888887</v>
      </c>
      <c r="U418" s="62">
        <f t="shared" si="137"/>
        <v>3799666.6700000297</v>
      </c>
      <c r="V418" s="67">
        <f t="shared" si="138"/>
        <v>0</v>
      </c>
      <c r="W418" s="64"/>
      <c r="X418" s="62"/>
      <c r="Y418" s="98">
        <f t="shared" si="131"/>
        <v>0.13</v>
      </c>
      <c r="Z418" s="62">
        <f t="shared" si="139"/>
        <v>9063.8888888888887</v>
      </c>
      <c r="AA418" s="62">
        <f t="shared" si="148"/>
        <v>4627358.333333361</v>
      </c>
      <c r="AB418" s="64"/>
      <c r="AC418" s="62"/>
      <c r="AD418" s="11"/>
    </row>
    <row r="419" spans="1:30" x14ac:dyDescent="0.35">
      <c r="A419" s="75" t="str">
        <f t="shared" si="134"/>
        <v>No</v>
      </c>
      <c r="B419" s="75">
        <f t="shared" si="149"/>
        <v>14</v>
      </c>
      <c r="C419" s="76">
        <f t="shared" si="135"/>
        <v>0</v>
      </c>
      <c r="D419" s="77">
        <f t="shared" si="136"/>
        <v>43936</v>
      </c>
      <c r="E419" s="77" t="str">
        <f t="shared" si="140"/>
        <v>No</v>
      </c>
      <c r="F419" s="75">
        <f t="shared" si="141"/>
        <v>5</v>
      </c>
      <c r="G419" s="78">
        <f t="shared" si="142"/>
        <v>0</v>
      </c>
      <c r="H419" s="77">
        <f t="shared" si="150"/>
        <v>44211</v>
      </c>
      <c r="I419" s="77" t="str">
        <f t="shared" si="143"/>
        <v>No</v>
      </c>
      <c r="J419" s="75">
        <f t="shared" si="144"/>
        <v>2</v>
      </c>
      <c r="K419" s="78">
        <f t="shared" si="151"/>
        <v>0</v>
      </c>
      <c r="L419" s="61">
        <v>43879</v>
      </c>
      <c r="M419" s="62">
        <f t="shared" si="145"/>
        <v>25100000</v>
      </c>
      <c r="N419" s="62"/>
      <c r="O419" s="62"/>
      <c r="P419" s="62"/>
      <c r="Q419" s="63">
        <f t="shared" si="133"/>
        <v>0.13</v>
      </c>
      <c r="R419" s="63">
        <f t="shared" si="132"/>
        <v>0</v>
      </c>
      <c r="S419" s="63">
        <f t="shared" si="146"/>
        <v>0.13</v>
      </c>
      <c r="T419" s="62">
        <f t="shared" si="147"/>
        <v>9063.8888888888887</v>
      </c>
      <c r="U419" s="62">
        <f t="shared" si="137"/>
        <v>3808730.5588889187</v>
      </c>
      <c r="V419" s="67">
        <f t="shared" si="138"/>
        <v>0</v>
      </c>
      <c r="W419" s="64"/>
      <c r="X419" s="62"/>
      <c r="Y419" s="98">
        <f t="shared" si="131"/>
        <v>0.13</v>
      </c>
      <c r="Z419" s="62">
        <f t="shared" si="139"/>
        <v>9063.8888888888887</v>
      </c>
      <c r="AA419" s="62">
        <f t="shared" si="148"/>
        <v>4636422.22222225</v>
      </c>
      <c r="AB419" s="64"/>
      <c r="AC419" s="62"/>
      <c r="AD419" s="11"/>
    </row>
    <row r="420" spans="1:30" x14ac:dyDescent="0.35">
      <c r="A420" s="75" t="str">
        <f t="shared" si="134"/>
        <v>No</v>
      </c>
      <c r="B420" s="75">
        <f t="shared" si="149"/>
        <v>14</v>
      </c>
      <c r="C420" s="76">
        <f t="shared" si="135"/>
        <v>0</v>
      </c>
      <c r="D420" s="77">
        <f t="shared" si="136"/>
        <v>43936</v>
      </c>
      <c r="E420" s="77" t="str">
        <f t="shared" si="140"/>
        <v>No</v>
      </c>
      <c r="F420" s="75">
        <f t="shared" si="141"/>
        <v>5</v>
      </c>
      <c r="G420" s="78">
        <f t="shared" si="142"/>
        <v>0</v>
      </c>
      <c r="H420" s="77">
        <f t="shared" si="150"/>
        <v>44211</v>
      </c>
      <c r="I420" s="77" t="str">
        <f t="shared" si="143"/>
        <v>No</v>
      </c>
      <c r="J420" s="75">
        <f t="shared" si="144"/>
        <v>2</v>
      </c>
      <c r="K420" s="78">
        <f t="shared" si="151"/>
        <v>0</v>
      </c>
      <c r="L420" s="61">
        <v>43880</v>
      </c>
      <c r="M420" s="62">
        <f t="shared" si="145"/>
        <v>25100000</v>
      </c>
      <c r="N420" s="62"/>
      <c r="O420" s="62"/>
      <c r="P420" s="62"/>
      <c r="Q420" s="63">
        <f t="shared" si="133"/>
        <v>0.13</v>
      </c>
      <c r="R420" s="63">
        <f t="shared" si="132"/>
        <v>0</v>
      </c>
      <c r="S420" s="63">
        <f t="shared" si="146"/>
        <v>0.13</v>
      </c>
      <c r="T420" s="62">
        <f t="shared" si="147"/>
        <v>9063.8888888888887</v>
      </c>
      <c r="U420" s="62">
        <f t="shared" si="137"/>
        <v>3817794.4477778077</v>
      </c>
      <c r="V420" s="67">
        <f t="shared" si="138"/>
        <v>0</v>
      </c>
      <c r="W420" s="64"/>
      <c r="X420" s="62"/>
      <c r="Y420" s="98">
        <f t="shared" si="131"/>
        <v>0.13</v>
      </c>
      <c r="Z420" s="62">
        <f t="shared" si="139"/>
        <v>9063.8888888888887</v>
      </c>
      <c r="AA420" s="62">
        <f t="shared" si="148"/>
        <v>4645486.1111111389</v>
      </c>
      <c r="AB420" s="64"/>
      <c r="AC420" s="62"/>
      <c r="AD420" s="11"/>
    </row>
    <row r="421" spans="1:30" x14ac:dyDescent="0.35">
      <c r="A421" s="75" t="str">
        <f t="shared" si="134"/>
        <v>No</v>
      </c>
      <c r="B421" s="75">
        <f t="shared" si="149"/>
        <v>14</v>
      </c>
      <c r="C421" s="76">
        <f t="shared" si="135"/>
        <v>0</v>
      </c>
      <c r="D421" s="77">
        <f t="shared" si="136"/>
        <v>43936</v>
      </c>
      <c r="E421" s="77" t="str">
        <f t="shared" si="140"/>
        <v>No</v>
      </c>
      <c r="F421" s="75">
        <f t="shared" si="141"/>
        <v>5</v>
      </c>
      <c r="G421" s="78">
        <f t="shared" si="142"/>
        <v>0</v>
      </c>
      <c r="H421" s="77">
        <f t="shared" si="150"/>
        <v>44211</v>
      </c>
      <c r="I421" s="77" t="str">
        <f t="shared" si="143"/>
        <v>No</v>
      </c>
      <c r="J421" s="75">
        <f t="shared" si="144"/>
        <v>2</v>
      </c>
      <c r="K421" s="78">
        <f t="shared" si="151"/>
        <v>0</v>
      </c>
      <c r="L421" s="61">
        <v>43881</v>
      </c>
      <c r="M421" s="62">
        <f t="shared" si="145"/>
        <v>25100000</v>
      </c>
      <c r="N421" s="62"/>
      <c r="O421" s="62"/>
      <c r="P421" s="62"/>
      <c r="Q421" s="63">
        <f t="shared" si="133"/>
        <v>0.13</v>
      </c>
      <c r="R421" s="63">
        <f t="shared" si="132"/>
        <v>0</v>
      </c>
      <c r="S421" s="63">
        <f t="shared" si="146"/>
        <v>0.13</v>
      </c>
      <c r="T421" s="62">
        <f t="shared" si="147"/>
        <v>9063.8888888888887</v>
      </c>
      <c r="U421" s="62">
        <f t="shared" si="137"/>
        <v>3826858.3366666967</v>
      </c>
      <c r="V421" s="67">
        <f t="shared" si="138"/>
        <v>0</v>
      </c>
      <c r="W421" s="64"/>
      <c r="X421" s="62"/>
      <c r="Y421" s="98">
        <f t="shared" si="131"/>
        <v>0.13</v>
      </c>
      <c r="Z421" s="62">
        <f t="shared" si="139"/>
        <v>9063.8888888888887</v>
      </c>
      <c r="AA421" s="62">
        <f t="shared" si="148"/>
        <v>4654550.0000000279</v>
      </c>
      <c r="AB421" s="64"/>
      <c r="AC421" s="62"/>
      <c r="AD421" s="11"/>
    </row>
    <row r="422" spans="1:30" x14ac:dyDescent="0.35">
      <c r="A422" s="75" t="str">
        <f t="shared" si="134"/>
        <v>No</v>
      </c>
      <c r="B422" s="75">
        <f t="shared" si="149"/>
        <v>14</v>
      </c>
      <c r="C422" s="76">
        <f t="shared" si="135"/>
        <v>0</v>
      </c>
      <c r="D422" s="77">
        <f t="shared" si="136"/>
        <v>43936</v>
      </c>
      <c r="E422" s="77" t="str">
        <f t="shared" si="140"/>
        <v>No</v>
      </c>
      <c r="F422" s="75">
        <f t="shared" si="141"/>
        <v>5</v>
      </c>
      <c r="G422" s="78">
        <f t="shared" si="142"/>
        <v>0</v>
      </c>
      <c r="H422" s="77">
        <f t="shared" si="150"/>
        <v>44211</v>
      </c>
      <c r="I422" s="77" t="str">
        <f t="shared" si="143"/>
        <v>No</v>
      </c>
      <c r="J422" s="75">
        <f t="shared" si="144"/>
        <v>2</v>
      </c>
      <c r="K422" s="78">
        <f t="shared" si="151"/>
        <v>0</v>
      </c>
      <c r="L422" s="61">
        <v>43882</v>
      </c>
      <c r="M422" s="62">
        <f t="shared" si="145"/>
        <v>25100000</v>
      </c>
      <c r="N422" s="62"/>
      <c r="O422" s="62"/>
      <c r="P422" s="62"/>
      <c r="Q422" s="63">
        <f t="shared" si="133"/>
        <v>0.13</v>
      </c>
      <c r="R422" s="63">
        <f t="shared" si="132"/>
        <v>0</v>
      </c>
      <c r="S422" s="63">
        <f t="shared" si="146"/>
        <v>0.13</v>
      </c>
      <c r="T422" s="62">
        <f t="shared" si="147"/>
        <v>9063.8888888888887</v>
      </c>
      <c r="U422" s="62">
        <f t="shared" si="137"/>
        <v>3835922.2255555857</v>
      </c>
      <c r="V422" s="67">
        <f t="shared" si="138"/>
        <v>0</v>
      </c>
      <c r="W422" s="64"/>
      <c r="X422" s="62"/>
      <c r="Y422" s="98">
        <f t="shared" ref="Y422:Y435" si="152">Y421</f>
        <v>0.13</v>
      </c>
      <c r="Z422" s="62">
        <f t="shared" si="139"/>
        <v>9063.8888888888887</v>
      </c>
      <c r="AA422" s="62">
        <f t="shared" si="148"/>
        <v>4663613.8888889169</v>
      </c>
      <c r="AB422" s="64"/>
      <c r="AC422" s="62"/>
      <c r="AD422" s="11"/>
    </row>
    <row r="423" spans="1:30" x14ac:dyDescent="0.35">
      <c r="A423" s="75" t="str">
        <f t="shared" si="134"/>
        <v>No</v>
      </c>
      <c r="B423" s="75">
        <f t="shared" si="149"/>
        <v>14</v>
      </c>
      <c r="C423" s="76">
        <f t="shared" si="135"/>
        <v>0</v>
      </c>
      <c r="D423" s="77">
        <f t="shared" si="136"/>
        <v>43936</v>
      </c>
      <c r="E423" s="77" t="str">
        <f t="shared" si="140"/>
        <v>No</v>
      </c>
      <c r="F423" s="75">
        <f t="shared" si="141"/>
        <v>5</v>
      </c>
      <c r="G423" s="78">
        <f t="shared" si="142"/>
        <v>0</v>
      </c>
      <c r="H423" s="77">
        <f t="shared" si="150"/>
        <v>44211</v>
      </c>
      <c r="I423" s="77" t="str">
        <f t="shared" si="143"/>
        <v>No</v>
      </c>
      <c r="J423" s="75">
        <f t="shared" si="144"/>
        <v>2</v>
      </c>
      <c r="K423" s="78">
        <f t="shared" si="151"/>
        <v>0</v>
      </c>
      <c r="L423" s="61">
        <v>43883</v>
      </c>
      <c r="M423" s="62">
        <f t="shared" si="145"/>
        <v>25100000</v>
      </c>
      <c r="N423" s="62"/>
      <c r="O423" s="62"/>
      <c r="P423" s="62"/>
      <c r="Q423" s="63">
        <f t="shared" si="133"/>
        <v>0.13</v>
      </c>
      <c r="R423" s="63">
        <f t="shared" si="132"/>
        <v>0</v>
      </c>
      <c r="S423" s="63">
        <f t="shared" si="146"/>
        <v>0.13</v>
      </c>
      <c r="T423" s="62">
        <f t="shared" si="147"/>
        <v>9063.8888888888887</v>
      </c>
      <c r="U423" s="62">
        <f t="shared" si="137"/>
        <v>3844986.1144444747</v>
      </c>
      <c r="V423" s="67">
        <f t="shared" si="138"/>
        <v>0</v>
      </c>
      <c r="W423" s="64"/>
      <c r="X423" s="62"/>
      <c r="Y423" s="98">
        <f t="shared" si="152"/>
        <v>0.13</v>
      </c>
      <c r="Z423" s="62">
        <f t="shared" si="139"/>
        <v>9063.8888888888887</v>
      </c>
      <c r="AA423" s="62">
        <f t="shared" si="148"/>
        <v>4672677.7777778059</v>
      </c>
      <c r="AB423" s="64"/>
      <c r="AC423" s="62"/>
      <c r="AD423" s="11"/>
    </row>
    <row r="424" spans="1:30" x14ac:dyDescent="0.35">
      <c r="A424" s="75" t="str">
        <f t="shared" si="134"/>
        <v>No</v>
      </c>
      <c r="B424" s="75">
        <f t="shared" si="149"/>
        <v>14</v>
      </c>
      <c r="C424" s="76">
        <f t="shared" si="135"/>
        <v>0</v>
      </c>
      <c r="D424" s="77">
        <f t="shared" si="136"/>
        <v>43936</v>
      </c>
      <c r="E424" s="77" t="str">
        <f t="shared" si="140"/>
        <v>No</v>
      </c>
      <c r="F424" s="75">
        <f t="shared" si="141"/>
        <v>5</v>
      </c>
      <c r="G424" s="78">
        <f t="shared" si="142"/>
        <v>0</v>
      </c>
      <c r="H424" s="77">
        <f t="shared" si="150"/>
        <v>44211</v>
      </c>
      <c r="I424" s="77" t="str">
        <f t="shared" si="143"/>
        <v>No</v>
      </c>
      <c r="J424" s="75">
        <f t="shared" si="144"/>
        <v>2</v>
      </c>
      <c r="K424" s="78">
        <f t="shared" si="151"/>
        <v>0</v>
      </c>
      <c r="L424" s="61">
        <v>43884</v>
      </c>
      <c r="M424" s="62">
        <f t="shared" si="145"/>
        <v>25100000</v>
      </c>
      <c r="N424" s="62"/>
      <c r="O424" s="62"/>
      <c r="P424" s="62"/>
      <c r="Q424" s="63">
        <f t="shared" si="133"/>
        <v>0.13</v>
      </c>
      <c r="R424" s="63">
        <f t="shared" si="132"/>
        <v>0</v>
      </c>
      <c r="S424" s="63">
        <f t="shared" si="146"/>
        <v>0.13</v>
      </c>
      <c r="T424" s="62">
        <f t="shared" si="147"/>
        <v>9063.8888888888887</v>
      </c>
      <c r="U424" s="62">
        <f t="shared" si="137"/>
        <v>3854050.0033333637</v>
      </c>
      <c r="V424" s="67">
        <f t="shared" si="138"/>
        <v>0</v>
      </c>
      <c r="W424" s="64"/>
      <c r="X424" s="62"/>
      <c r="Y424" s="98">
        <f t="shared" si="152"/>
        <v>0.13</v>
      </c>
      <c r="Z424" s="62">
        <f t="shared" si="139"/>
        <v>9063.8888888888887</v>
      </c>
      <c r="AA424" s="62">
        <f t="shared" si="148"/>
        <v>4681741.6666666949</v>
      </c>
      <c r="AB424" s="64"/>
      <c r="AC424" s="62"/>
      <c r="AD424" s="11"/>
    </row>
    <row r="425" spans="1:30" x14ac:dyDescent="0.35">
      <c r="A425" s="75" t="str">
        <f t="shared" si="134"/>
        <v>No</v>
      </c>
      <c r="B425" s="75">
        <f t="shared" si="149"/>
        <v>14</v>
      </c>
      <c r="C425" s="76">
        <f t="shared" si="135"/>
        <v>0</v>
      </c>
      <c r="D425" s="77">
        <f t="shared" si="136"/>
        <v>43936</v>
      </c>
      <c r="E425" s="77" t="str">
        <f t="shared" si="140"/>
        <v>No</v>
      </c>
      <c r="F425" s="75">
        <f t="shared" si="141"/>
        <v>5</v>
      </c>
      <c r="G425" s="78">
        <f t="shared" si="142"/>
        <v>0</v>
      </c>
      <c r="H425" s="77">
        <f t="shared" si="150"/>
        <v>44211</v>
      </c>
      <c r="I425" s="77" t="str">
        <f t="shared" si="143"/>
        <v>No</v>
      </c>
      <c r="J425" s="75">
        <f t="shared" si="144"/>
        <v>2</v>
      </c>
      <c r="K425" s="78">
        <f t="shared" si="151"/>
        <v>0</v>
      </c>
      <c r="L425" s="61">
        <v>43885</v>
      </c>
      <c r="M425" s="62">
        <f t="shared" si="145"/>
        <v>25100000</v>
      </c>
      <c r="N425" s="62"/>
      <c r="O425" s="62"/>
      <c r="P425" s="62"/>
      <c r="Q425" s="63">
        <f t="shared" si="133"/>
        <v>0.13</v>
      </c>
      <c r="R425" s="63">
        <f t="shared" si="132"/>
        <v>0</v>
      </c>
      <c r="S425" s="63">
        <f t="shared" si="146"/>
        <v>0.13</v>
      </c>
      <c r="T425" s="62">
        <f t="shared" si="147"/>
        <v>9063.8888888888887</v>
      </c>
      <c r="U425" s="62">
        <f t="shared" si="137"/>
        <v>3863113.8922222527</v>
      </c>
      <c r="V425" s="67">
        <f t="shared" si="138"/>
        <v>0</v>
      </c>
      <c r="W425" s="64"/>
      <c r="X425" s="62"/>
      <c r="Y425" s="98">
        <f t="shared" si="152"/>
        <v>0.13</v>
      </c>
      <c r="Z425" s="62">
        <f t="shared" si="139"/>
        <v>9063.8888888888887</v>
      </c>
      <c r="AA425" s="62">
        <f t="shared" si="148"/>
        <v>4690805.5555555839</v>
      </c>
      <c r="AB425" s="64"/>
      <c r="AC425" s="62"/>
      <c r="AD425" s="11"/>
    </row>
    <row r="426" spans="1:30" x14ac:dyDescent="0.35">
      <c r="A426" s="75" t="str">
        <f t="shared" si="134"/>
        <v>No</v>
      </c>
      <c r="B426" s="75">
        <f t="shared" si="149"/>
        <v>14</v>
      </c>
      <c r="C426" s="76">
        <f t="shared" si="135"/>
        <v>0</v>
      </c>
      <c r="D426" s="77">
        <f t="shared" si="136"/>
        <v>43936</v>
      </c>
      <c r="E426" s="77" t="str">
        <f t="shared" si="140"/>
        <v>No</v>
      </c>
      <c r="F426" s="75">
        <f t="shared" si="141"/>
        <v>5</v>
      </c>
      <c r="G426" s="78">
        <f t="shared" si="142"/>
        <v>0</v>
      </c>
      <c r="H426" s="77">
        <f t="shared" si="150"/>
        <v>44211</v>
      </c>
      <c r="I426" s="77" t="str">
        <f t="shared" si="143"/>
        <v>No</v>
      </c>
      <c r="J426" s="75">
        <f t="shared" si="144"/>
        <v>2</v>
      </c>
      <c r="K426" s="78">
        <f t="shared" si="151"/>
        <v>0</v>
      </c>
      <c r="L426" s="61">
        <v>43886</v>
      </c>
      <c r="M426" s="62">
        <f t="shared" si="145"/>
        <v>25100000</v>
      </c>
      <c r="N426" s="62"/>
      <c r="O426" s="62"/>
      <c r="P426" s="62"/>
      <c r="Q426" s="63">
        <f t="shared" si="133"/>
        <v>0.13</v>
      </c>
      <c r="R426" s="63">
        <f t="shared" si="132"/>
        <v>0</v>
      </c>
      <c r="S426" s="63">
        <f t="shared" si="146"/>
        <v>0.13</v>
      </c>
      <c r="T426" s="62">
        <f t="shared" si="147"/>
        <v>9063.8888888888887</v>
      </c>
      <c r="U426" s="62">
        <f t="shared" si="137"/>
        <v>3872177.7811111417</v>
      </c>
      <c r="V426" s="67">
        <f t="shared" si="138"/>
        <v>0</v>
      </c>
      <c r="W426" s="64"/>
      <c r="X426" s="62"/>
      <c r="Y426" s="98">
        <f t="shared" si="152"/>
        <v>0.13</v>
      </c>
      <c r="Z426" s="62">
        <f t="shared" si="139"/>
        <v>9063.8888888888887</v>
      </c>
      <c r="AA426" s="62">
        <f t="shared" si="148"/>
        <v>4699869.4444444729</v>
      </c>
      <c r="AB426" s="64"/>
      <c r="AC426" s="62"/>
      <c r="AD426" s="11"/>
    </row>
    <row r="427" spans="1:30" x14ac:dyDescent="0.35">
      <c r="A427" s="75" t="str">
        <f t="shared" si="134"/>
        <v>No</v>
      </c>
      <c r="B427" s="75">
        <f t="shared" si="149"/>
        <v>14</v>
      </c>
      <c r="C427" s="76">
        <f t="shared" si="135"/>
        <v>0</v>
      </c>
      <c r="D427" s="77">
        <f t="shared" si="136"/>
        <v>43936</v>
      </c>
      <c r="E427" s="77" t="str">
        <f t="shared" si="140"/>
        <v>No</v>
      </c>
      <c r="F427" s="75">
        <f t="shared" si="141"/>
        <v>5</v>
      </c>
      <c r="G427" s="78">
        <f t="shared" si="142"/>
        <v>0</v>
      </c>
      <c r="H427" s="77">
        <f t="shared" si="150"/>
        <v>44211</v>
      </c>
      <c r="I427" s="77" t="str">
        <f t="shared" si="143"/>
        <v>No</v>
      </c>
      <c r="J427" s="75">
        <f t="shared" si="144"/>
        <v>2</v>
      </c>
      <c r="K427" s="78">
        <f t="shared" si="151"/>
        <v>0</v>
      </c>
      <c r="L427" s="61">
        <v>43887</v>
      </c>
      <c r="M427" s="62">
        <f t="shared" si="145"/>
        <v>25100000</v>
      </c>
      <c r="N427" s="62"/>
      <c r="O427" s="62"/>
      <c r="P427" s="62"/>
      <c r="Q427" s="63">
        <f t="shared" si="133"/>
        <v>0.13</v>
      </c>
      <c r="R427" s="63">
        <f t="shared" si="132"/>
        <v>0</v>
      </c>
      <c r="S427" s="63">
        <f t="shared" si="146"/>
        <v>0.13</v>
      </c>
      <c r="T427" s="62">
        <f t="shared" si="147"/>
        <v>9063.8888888888887</v>
      </c>
      <c r="U427" s="62">
        <f t="shared" si="137"/>
        <v>3881241.6700000307</v>
      </c>
      <c r="V427" s="67">
        <f t="shared" si="138"/>
        <v>0</v>
      </c>
      <c r="W427" s="64"/>
      <c r="X427" s="62"/>
      <c r="Y427" s="98">
        <f t="shared" si="152"/>
        <v>0.13</v>
      </c>
      <c r="Z427" s="62">
        <f t="shared" si="139"/>
        <v>9063.8888888888887</v>
      </c>
      <c r="AA427" s="62">
        <f t="shared" si="148"/>
        <v>4708933.3333333619</v>
      </c>
      <c r="AB427" s="64"/>
      <c r="AC427" s="62"/>
      <c r="AD427" s="11"/>
    </row>
    <row r="428" spans="1:30" x14ac:dyDescent="0.35">
      <c r="A428" s="75" t="str">
        <f t="shared" si="134"/>
        <v>No</v>
      </c>
      <c r="B428" s="75">
        <f t="shared" si="149"/>
        <v>14</v>
      </c>
      <c r="C428" s="76">
        <f t="shared" si="135"/>
        <v>0</v>
      </c>
      <c r="D428" s="77">
        <f t="shared" si="136"/>
        <v>43936</v>
      </c>
      <c r="E428" s="77" t="str">
        <f t="shared" si="140"/>
        <v>No</v>
      </c>
      <c r="F428" s="75">
        <f t="shared" si="141"/>
        <v>5</v>
      </c>
      <c r="G428" s="78">
        <f t="shared" si="142"/>
        <v>0</v>
      </c>
      <c r="H428" s="77">
        <f t="shared" si="150"/>
        <v>44211</v>
      </c>
      <c r="I428" s="77" t="str">
        <f t="shared" si="143"/>
        <v>No</v>
      </c>
      <c r="J428" s="75">
        <f t="shared" si="144"/>
        <v>2</v>
      </c>
      <c r="K428" s="78">
        <f t="shared" si="151"/>
        <v>0</v>
      </c>
      <c r="L428" s="61">
        <v>43888</v>
      </c>
      <c r="M428" s="62">
        <f t="shared" si="145"/>
        <v>25100000</v>
      </c>
      <c r="N428" s="62"/>
      <c r="O428" s="62"/>
      <c r="P428" s="62"/>
      <c r="Q428" s="63">
        <f t="shared" si="133"/>
        <v>0.13</v>
      </c>
      <c r="R428" s="63">
        <f t="shared" si="132"/>
        <v>0</v>
      </c>
      <c r="S428" s="63">
        <f t="shared" si="146"/>
        <v>0.13</v>
      </c>
      <c r="T428" s="62">
        <f t="shared" si="147"/>
        <v>9063.8888888888887</v>
      </c>
      <c r="U428" s="62">
        <f t="shared" si="137"/>
        <v>3890305.5588889197</v>
      </c>
      <c r="V428" s="67">
        <f t="shared" si="138"/>
        <v>0</v>
      </c>
      <c r="W428" s="64"/>
      <c r="X428" s="62"/>
      <c r="Y428" s="98">
        <f t="shared" si="152"/>
        <v>0.13</v>
      </c>
      <c r="Z428" s="62">
        <f t="shared" si="139"/>
        <v>9063.8888888888887</v>
      </c>
      <c r="AA428" s="62">
        <f t="shared" si="148"/>
        <v>4717997.2222222509</v>
      </c>
      <c r="AB428" s="64"/>
      <c r="AC428" s="62"/>
      <c r="AD428" s="11"/>
    </row>
    <row r="429" spans="1:30" x14ac:dyDescent="0.35">
      <c r="A429" s="75" t="str">
        <f t="shared" si="134"/>
        <v>No</v>
      </c>
      <c r="B429" s="75">
        <f t="shared" si="149"/>
        <v>14</v>
      </c>
      <c r="C429" s="76">
        <f t="shared" si="135"/>
        <v>0</v>
      </c>
      <c r="D429" s="77">
        <f t="shared" si="136"/>
        <v>43936</v>
      </c>
      <c r="E429" s="77" t="str">
        <f t="shared" si="140"/>
        <v>No</v>
      </c>
      <c r="F429" s="75">
        <f t="shared" si="141"/>
        <v>5</v>
      </c>
      <c r="G429" s="78">
        <f t="shared" si="142"/>
        <v>0</v>
      </c>
      <c r="H429" s="77">
        <f t="shared" si="150"/>
        <v>44211</v>
      </c>
      <c r="I429" s="77" t="str">
        <f t="shared" si="143"/>
        <v>No</v>
      </c>
      <c r="J429" s="75">
        <f t="shared" si="144"/>
        <v>2</v>
      </c>
      <c r="K429" s="78">
        <f t="shared" si="151"/>
        <v>0</v>
      </c>
      <c r="L429" s="61">
        <v>43889</v>
      </c>
      <c r="M429" s="62">
        <f t="shared" si="145"/>
        <v>25100000</v>
      </c>
      <c r="N429" s="62"/>
      <c r="O429" s="62"/>
      <c r="P429" s="62"/>
      <c r="Q429" s="63">
        <f t="shared" si="133"/>
        <v>0.13</v>
      </c>
      <c r="R429" s="63">
        <f t="shared" si="132"/>
        <v>0</v>
      </c>
      <c r="S429" s="63">
        <f t="shared" si="146"/>
        <v>0.13</v>
      </c>
      <c r="T429" s="62">
        <f t="shared" si="147"/>
        <v>9063.8888888888887</v>
      </c>
      <c r="U429" s="62">
        <f t="shared" si="137"/>
        <v>3899369.4477778086</v>
      </c>
      <c r="V429" s="67">
        <f t="shared" si="138"/>
        <v>0</v>
      </c>
      <c r="W429" s="64"/>
      <c r="X429" s="62"/>
      <c r="Y429" s="98">
        <f t="shared" si="152"/>
        <v>0.13</v>
      </c>
      <c r="Z429" s="62">
        <f t="shared" si="139"/>
        <v>9063.8888888888887</v>
      </c>
      <c r="AA429" s="62">
        <f t="shared" si="148"/>
        <v>4727061.1111111399</v>
      </c>
      <c r="AB429" s="64"/>
      <c r="AC429" s="62"/>
      <c r="AD429" s="11"/>
    </row>
    <row r="430" spans="1:30" x14ac:dyDescent="0.35">
      <c r="A430" s="75" t="str">
        <f t="shared" si="134"/>
        <v>No</v>
      </c>
      <c r="B430" s="75">
        <f t="shared" si="149"/>
        <v>14</v>
      </c>
      <c r="C430" s="76">
        <f t="shared" si="135"/>
        <v>0</v>
      </c>
      <c r="D430" s="77">
        <f t="shared" si="136"/>
        <v>43936</v>
      </c>
      <c r="E430" s="77" t="str">
        <f t="shared" si="140"/>
        <v>No</v>
      </c>
      <c r="F430" s="75">
        <f t="shared" si="141"/>
        <v>5</v>
      </c>
      <c r="G430" s="78">
        <f t="shared" si="142"/>
        <v>0</v>
      </c>
      <c r="H430" s="77">
        <f t="shared" si="150"/>
        <v>44211</v>
      </c>
      <c r="I430" s="77" t="str">
        <f t="shared" si="143"/>
        <v>No</v>
      </c>
      <c r="J430" s="75">
        <f t="shared" si="144"/>
        <v>2</v>
      </c>
      <c r="K430" s="78">
        <f t="shared" si="151"/>
        <v>0</v>
      </c>
      <c r="L430" s="61">
        <v>43890</v>
      </c>
      <c r="M430" s="62">
        <f t="shared" si="145"/>
        <v>25100000</v>
      </c>
      <c r="N430" s="62"/>
      <c r="O430" s="62"/>
      <c r="P430" s="62"/>
      <c r="Q430" s="63">
        <f t="shared" si="133"/>
        <v>0.13</v>
      </c>
      <c r="R430" s="63">
        <f t="shared" si="132"/>
        <v>0</v>
      </c>
      <c r="S430" s="63">
        <f t="shared" si="146"/>
        <v>0.13</v>
      </c>
      <c r="T430" s="62">
        <f t="shared" si="147"/>
        <v>9063.8888888888887</v>
      </c>
      <c r="U430" s="62">
        <f t="shared" si="137"/>
        <v>3908433.3366666976</v>
      </c>
      <c r="V430" s="67">
        <f t="shared" si="138"/>
        <v>0</v>
      </c>
      <c r="W430" s="64"/>
      <c r="X430" s="62"/>
      <c r="Y430" s="98">
        <f t="shared" si="152"/>
        <v>0.13</v>
      </c>
      <c r="Z430" s="62">
        <f t="shared" si="139"/>
        <v>9063.8888888888887</v>
      </c>
      <c r="AA430" s="62">
        <f t="shared" si="148"/>
        <v>4736125.0000000289</v>
      </c>
      <c r="AB430" s="64"/>
      <c r="AC430" s="62"/>
      <c r="AD430" s="11"/>
    </row>
    <row r="431" spans="1:30" x14ac:dyDescent="0.35">
      <c r="A431" s="75" t="str">
        <f t="shared" si="134"/>
        <v>No</v>
      </c>
      <c r="B431" s="75">
        <f t="shared" si="149"/>
        <v>14</v>
      </c>
      <c r="C431" s="76">
        <f t="shared" si="135"/>
        <v>0</v>
      </c>
      <c r="D431" s="77">
        <f t="shared" si="136"/>
        <v>43936</v>
      </c>
      <c r="E431" s="77" t="str">
        <f t="shared" si="140"/>
        <v>No</v>
      </c>
      <c r="F431" s="75">
        <f t="shared" si="141"/>
        <v>5</v>
      </c>
      <c r="G431" s="78">
        <f t="shared" si="142"/>
        <v>0</v>
      </c>
      <c r="H431" s="77">
        <f t="shared" si="150"/>
        <v>44211</v>
      </c>
      <c r="I431" s="77" t="str">
        <f t="shared" si="143"/>
        <v>No</v>
      </c>
      <c r="J431" s="75">
        <f t="shared" si="144"/>
        <v>2</v>
      </c>
      <c r="K431" s="78">
        <f t="shared" si="151"/>
        <v>0</v>
      </c>
      <c r="L431" s="61">
        <v>43891</v>
      </c>
      <c r="M431" s="62">
        <f t="shared" si="145"/>
        <v>25100000</v>
      </c>
      <c r="N431" s="62"/>
      <c r="O431" s="62"/>
      <c r="P431" s="62"/>
      <c r="Q431" s="63">
        <f t="shared" si="133"/>
        <v>0.13</v>
      </c>
      <c r="R431" s="63">
        <f t="shared" si="132"/>
        <v>0</v>
      </c>
      <c r="S431" s="63">
        <f t="shared" si="146"/>
        <v>0.13</v>
      </c>
      <c r="T431" s="62">
        <f t="shared" si="147"/>
        <v>9063.8888888888887</v>
      </c>
      <c r="U431" s="62">
        <f t="shared" si="137"/>
        <v>3917497.2255555866</v>
      </c>
      <c r="V431" s="67">
        <f t="shared" si="138"/>
        <v>0</v>
      </c>
      <c r="W431" s="64"/>
      <c r="X431" s="62"/>
      <c r="Y431" s="98">
        <f t="shared" si="152"/>
        <v>0.13</v>
      </c>
      <c r="Z431" s="62">
        <f t="shared" si="139"/>
        <v>9063.8888888888887</v>
      </c>
      <c r="AA431" s="62">
        <f t="shared" si="148"/>
        <v>4745188.8888889179</v>
      </c>
      <c r="AB431" s="64"/>
      <c r="AC431" s="62"/>
      <c r="AD431" s="11"/>
    </row>
    <row r="432" spans="1:30" x14ac:dyDescent="0.35">
      <c r="A432" s="75" t="str">
        <f t="shared" si="134"/>
        <v>No</v>
      </c>
      <c r="B432" s="75">
        <f t="shared" si="149"/>
        <v>14</v>
      </c>
      <c r="C432" s="76">
        <f t="shared" si="135"/>
        <v>0</v>
      </c>
      <c r="D432" s="77">
        <f t="shared" si="136"/>
        <v>43936</v>
      </c>
      <c r="E432" s="77" t="str">
        <f t="shared" si="140"/>
        <v>No</v>
      </c>
      <c r="F432" s="75">
        <f t="shared" si="141"/>
        <v>5</v>
      </c>
      <c r="G432" s="78">
        <f t="shared" si="142"/>
        <v>0</v>
      </c>
      <c r="H432" s="77">
        <f t="shared" si="150"/>
        <v>44211</v>
      </c>
      <c r="I432" s="77" t="str">
        <f t="shared" si="143"/>
        <v>No</v>
      </c>
      <c r="J432" s="75">
        <f t="shared" si="144"/>
        <v>2</v>
      </c>
      <c r="K432" s="78">
        <f t="shared" si="151"/>
        <v>0</v>
      </c>
      <c r="L432" s="61">
        <v>43892</v>
      </c>
      <c r="M432" s="62">
        <f t="shared" si="145"/>
        <v>25100000</v>
      </c>
      <c r="N432" s="62"/>
      <c r="O432" s="62"/>
      <c r="P432" s="62"/>
      <c r="Q432" s="63">
        <f t="shared" si="133"/>
        <v>0.13</v>
      </c>
      <c r="R432" s="63">
        <f t="shared" si="132"/>
        <v>0</v>
      </c>
      <c r="S432" s="63">
        <f t="shared" si="146"/>
        <v>0.13</v>
      </c>
      <c r="T432" s="62">
        <f t="shared" si="147"/>
        <v>9063.8888888888887</v>
      </c>
      <c r="U432" s="62">
        <f t="shared" si="137"/>
        <v>3926561.1144444756</v>
      </c>
      <c r="V432" s="67">
        <f t="shared" si="138"/>
        <v>0</v>
      </c>
      <c r="W432" s="64"/>
      <c r="X432" s="62"/>
      <c r="Y432" s="98">
        <f t="shared" si="152"/>
        <v>0.13</v>
      </c>
      <c r="Z432" s="62">
        <f t="shared" si="139"/>
        <v>9063.8888888888887</v>
      </c>
      <c r="AA432" s="62">
        <f t="shared" si="148"/>
        <v>4754252.7777778069</v>
      </c>
      <c r="AB432" s="64"/>
      <c r="AC432" s="62"/>
      <c r="AD432" s="11"/>
    </row>
    <row r="433" spans="1:30" x14ac:dyDescent="0.35">
      <c r="A433" s="75" t="str">
        <f t="shared" si="134"/>
        <v>No</v>
      </c>
      <c r="B433" s="75">
        <f t="shared" si="149"/>
        <v>14</v>
      </c>
      <c r="C433" s="76">
        <f t="shared" si="135"/>
        <v>0</v>
      </c>
      <c r="D433" s="77">
        <f t="shared" si="136"/>
        <v>43936</v>
      </c>
      <c r="E433" s="77" t="str">
        <f t="shared" si="140"/>
        <v>No</v>
      </c>
      <c r="F433" s="75">
        <f t="shared" si="141"/>
        <v>5</v>
      </c>
      <c r="G433" s="78">
        <f t="shared" si="142"/>
        <v>0</v>
      </c>
      <c r="H433" s="77">
        <f t="shared" si="150"/>
        <v>44211</v>
      </c>
      <c r="I433" s="77" t="str">
        <f t="shared" si="143"/>
        <v>No</v>
      </c>
      <c r="J433" s="75">
        <f t="shared" si="144"/>
        <v>2</v>
      </c>
      <c r="K433" s="78">
        <f t="shared" si="151"/>
        <v>0</v>
      </c>
      <c r="L433" s="61">
        <v>43893</v>
      </c>
      <c r="M433" s="62">
        <f t="shared" si="145"/>
        <v>25100000</v>
      </c>
      <c r="N433" s="62"/>
      <c r="O433" s="62"/>
      <c r="P433" s="62"/>
      <c r="Q433" s="63">
        <f t="shared" si="133"/>
        <v>0.13</v>
      </c>
      <c r="R433" s="63">
        <f t="shared" si="132"/>
        <v>0</v>
      </c>
      <c r="S433" s="63">
        <f t="shared" si="146"/>
        <v>0.13</v>
      </c>
      <c r="T433" s="62">
        <f t="shared" si="147"/>
        <v>9063.8888888888887</v>
      </c>
      <c r="U433" s="62">
        <f t="shared" si="137"/>
        <v>3935625.0033333646</v>
      </c>
      <c r="V433" s="67">
        <f t="shared" si="138"/>
        <v>0</v>
      </c>
      <c r="W433" s="64"/>
      <c r="X433" s="62"/>
      <c r="Y433" s="98">
        <f t="shared" si="152"/>
        <v>0.13</v>
      </c>
      <c r="Z433" s="62">
        <f t="shared" si="139"/>
        <v>9063.8888888888887</v>
      </c>
      <c r="AA433" s="62">
        <f t="shared" si="148"/>
        <v>4763316.6666666958</v>
      </c>
      <c r="AB433" s="64"/>
      <c r="AC433" s="62"/>
      <c r="AD433" s="11"/>
    </row>
    <row r="434" spans="1:30" x14ac:dyDescent="0.35">
      <c r="A434" s="75" t="str">
        <f t="shared" si="134"/>
        <v>No</v>
      </c>
      <c r="B434" s="75">
        <f t="shared" si="149"/>
        <v>14</v>
      </c>
      <c r="C434" s="76">
        <f t="shared" si="135"/>
        <v>0</v>
      </c>
      <c r="D434" s="77">
        <f t="shared" si="136"/>
        <v>43936</v>
      </c>
      <c r="E434" s="77" t="str">
        <f t="shared" si="140"/>
        <v>No</v>
      </c>
      <c r="F434" s="75">
        <f t="shared" si="141"/>
        <v>5</v>
      </c>
      <c r="G434" s="78">
        <f t="shared" si="142"/>
        <v>0</v>
      </c>
      <c r="H434" s="77">
        <f t="shared" si="150"/>
        <v>44211</v>
      </c>
      <c r="I434" s="77" t="str">
        <f t="shared" si="143"/>
        <v>No</v>
      </c>
      <c r="J434" s="75">
        <f t="shared" si="144"/>
        <v>2</v>
      </c>
      <c r="K434" s="78">
        <f t="shared" si="151"/>
        <v>0</v>
      </c>
      <c r="L434" s="61">
        <v>43894</v>
      </c>
      <c r="M434" s="62">
        <f t="shared" si="145"/>
        <v>25100000</v>
      </c>
      <c r="N434" s="62"/>
      <c r="O434" s="62"/>
      <c r="P434" s="62"/>
      <c r="Q434" s="63">
        <f t="shared" si="133"/>
        <v>0.13</v>
      </c>
      <c r="R434" s="63">
        <f t="shared" si="132"/>
        <v>0</v>
      </c>
      <c r="S434" s="63">
        <f t="shared" si="146"/>
        <v>0.13</v>
      </c>
      <c r="T434" s="62">
        <f t="shared" si="147"/>
        <v>9063.8888888888887</v>
      </c>
      <c r="U434" s="62">
        <f t="shared" si="137"/>
        <v>3944688.8922222536</v>
      </c>
      <c r="V434" s="67">
        <f t="shared" si="138"/>
        <v>0</v>
      </c>
      <c r="W434" s="64"/>
      <c r="X434" s="62"/>
      <c r="Y434" s="98">
        <f t="shared" si="152"/>
        <v>0.13</v>
      </c>
      <c r="Z434" s="62">
        <f t="shared" si="139"/>
        <v>9063.8888888888887</v>
      </c>
      <c r="AA434" s="62">
        <f t="shared" si="148"/>
        <v>4772380.5555555848</v>
      </c>
      <c r="AB434" s="64"/>
      <c r="AC434" s="62"/>
      <c r="AD434" s="11"/>
    </row>
    <row r="435" spans="1:30" x14ac:dyDescent="0.35">
      <c r="A435" s="75" t="str">
        <f t="shared" si="134"/>
        <v>No</v>
      </c>
      <c r="B435" s="75">
        <f t="shared" si="149"/>
        <v>14</v>
      </c>
      <c r="C435" s="76">
        <f t="shared" si="135"/>
        <v>0</v>
      </c>
      <c r="D435" s="77">
        <f t="shared" si="136"/>
        <v>43936</v>
      </c>
      <c r="E435" s="77" t="str">
        <f t="shared" si="140"/>
        <v>No</v>
      </c>
      <c r="F435" s="75">
        <f t="shared" si="141"/>
        <v>5</v>
      </c>
      <c r="G435" s="78">
        <f t="shared" si="142"/>
        <v>0</v>
      </c>
      <c r="H435" s="77">
        <f t="shared" si="150"/>
        <v>44211</v>
      </c>
      <c r="I435" s="77" t="str">
        <f t="shared" si="143"/>
        <v>No</v>
      </c>
      <c r="J435" s="75">
        <f t="shared" si="144"/>
        <v>2</v>
      </c>
      <c r="K435" s="78">
        <f t="shared" si="151"/>
        <v>0</v>
      </c>
      <c r="L435" s="61">
        <v>43895</v>
      </c>
      <c r="M435" s="62">
        <f t="shared" si="145"/>
        <v>25100000</v>
      </c>
      <c r="N435" s="62"/>
      <c r="O435" s="62"/>
      <c r="P435" s="62"/>
      <c r="Q435" s="63">
        <f t="shared" si="133"/>
        <v>0.13</v>
      </c>
      <c r="R435" s="63">
        <f t="shared" si="132"/>
        <v>0</v>
      </c>
      <c r="S435" s="63">
        <f t="shared" si="146"/>
        <v>0.13</v>
      </c>
      <c r="T435" s="62">
        <f>M435*S435*(1/360)</f>
        <v>9063.8888888888887</v>
      </c>
      <c r="U435" s="62">
        <f t="shared" si="137"/>
        <v>3953752.7811111426</v>
      </c>
      <c r="V435" s="67">
        <f t="shared" si="138"/>
        <v>0</v>
      </c>
      <c r="W435" s="64"/>
      <c r="X435" s="62"/>
      <c r="Y435" s="98">
        <f t="shared" si="152"/>
        <v>0.13</v>
      </c>
      <c r="Z435" s="62">
        <f t="shared" si="139"/>
        <v>9063.8888888888887</v>
      </c>
      <c r="AA435" s="62">
        <f t="shared" si="148"/>
        <v>4781444.4444444738</v>
      </c>
      <c r="AB435" s="64"/>
      <c r="AC435" s="62"/>
      <c r="AD435" s="11"/>
    </row>
    <row r="436" spans="1:30" x14ac:dyDescent="0.35">
      <c r="Y436" s="10"/>
      <c r="Z436" s="9"/>
      <c r="AD436" s="11"/>
    </row>
    <row r="437" spans="1:30" x14ac:dyDescent="0.35">
      <c r="Y437" s="10"/>
      <c r="Z437" s="9"/>
      <c r="AD437" s="11"/>
    </row>
    <row r="438" spans="1:30" x14ac:dyDescent="0.35">
      <c r="Y438" s="10"/>
      <c r="Z438" s="9"/>
      <c r="AD438" s="11"/>
    </row>
    <row r="439" spans="1:30" x14ac:dyDescent="0.35">
      <c r="Y439" s="10"/>
      <c r="Z439" s="9"/>
      <c r="AD439" s="11"/>
    </row>
    <row r="440" spans="1:30" x14ac:dyDescent="0.35">
      <c r="Y440" s="10"/>
      <c r="Z440" s="9"/>
      <c r="AD440" s="11"/>
    </row>
    <row r="441" spans="1:30" x14ac:dyDescent="0.35">
      <c r="Y441" s="10"/>
      <c r="Z441" s="9"/>
      <c r="AD441" s="11"/>
    </row>
    <row r="442" spans="1:30" x14ac:dyDescent="0.35">
      <c r="Y442" s="10"/>
      <c r="Z442" s="9"/>
      <c r="AD442" s="11"/>
    </row>
    <row r="443" spans="1:30" x14ac:dyDescent="0.35">
      <c r="Y443" s="10"/>
      <c r="Z443" s="9"/>
      <c r="AD443" s="11"/>
    </row>
    <row r="444" spans="1:30" x14ac:dyDescent="0.35">
      <c r="Y444" s="10"/>
      <c r="Z444" s="9"/>
      <c r="AD444" s="11"/>
    </row>
    <row r="445" spans="1:30" x14ac:dyDescent="0.35">
      <c r="Y445" s="10"/>
      <c r="Z445" s="9"/>
      <c r="AD445" s="11"/>
    </row>
    <row r="446" spans="1:30" x14ac:dyDescent="0.35">
      <c r="Y446" s="10"/>
      <c r="Z446" s="9"/>
      <c r="AD446" s="11"/>
    </row>
    <row r="447" spans="1:30" x14ac:dyDescent="0.35">
      <c r="Y447" s="10"/>
      <c r="Z447" s="9"/>
      <c r="AD447" s="11"/>
    </row>
    <row r="448" spans="1:30" x14ac:dyDescent="0.35">
      <c r="Y448" s="10"/>
      <c r="Z448" s="9"/>
      <c r="AD448" s="11"/>
    </row>
    <row r="449" spans="25:30" x14ac:dyDescent="0.35">
      <c r="Y449" s="10"/>
      <c r="Z449" s="9"/>
      <c r="AD449" s="11"/>
    </row>
    <row r="450" spans="25:30" x14ac:dyDescent="0.35">
      <c r="Y450" s="10"/>
      <c r="Z450" s="9"/>
      <c r="AD450" s="11"/>
    </row>
    <row r="451" spans="25:30" x14ac:dyDescent="0.35">
      <c r="Y451" s="10"/>
      <c r="Z451" s="9"/>
      <c r="AD451" s="11"/>
    </row>
    <row r="452" spans="25:30" x14ac:dyDescent="0.35">
      <c r="Y452" s="10"/>
      <c r="Z452" s="9"/>
      <c r="AD452" s="11"/>
    </row>
    <row r="453" spans="25:30" x14ac:dyDescent="0.35">
      <c r="Y453" s="10"/>
      <c r="Z453" s="9"/>
      <c r="AD453" s="11"/>
    </row>
    <row r="454" spans="25:30" x14ac:dyDescent="0.35">
      <c r="Y454" s="10"/>
      <c r="Z454" s="9"/>
      <c r="AD454" s="11"/>
    </row>
    <row r="455" spans="25:30" x14ac:dyDescent="0.35">
      <c r="Y455" s="10"/>
      <c r="Z455" s="9"/>
      <c r="AD455" s="11"/>
    </row>
    <row r="456" spans="25:30" x14ac:dyDescent="0.35">
      <c r="Y456" s="10"/>
      <c r="Z456" s="9"/>
      <c r="AD456" s="11"/>
    </row>
    <row r="457" spans="25:30" x14ac:dyDescent="0.35">
      <c r="Y457" s="10"/>
      <c r="Z457" s="9"/>
      <c r="AD457" s="11"/>
    </row>
    <row r="458" spans="25:30" x14ac:dyDescent="0.35">
      <c r="Y458" s="10"/>
      <c r="Z458" s="9"/>
      <c r="AD458" s="11"/>
    </row>
    <row r="459" spans="25:30" x14ac:dyDescent="0.35">
      <c r="Y459" s="10"/>
      <c r="Z459" s="9"/>
      <c r="AD459" s="11"/>
    </row>
    <row r="460" spans="25:30" x14ac:dyDescent="0.35">
      <c r="Y460" s="10"/>
      <c r="Z460" s="9"/>
      <c r="AD460" s="11"/>
    </row>
    <row r="461" spans="25:30" x14ac:dyDescent="0.35">
      <c r="Y461" s="10"/>
      <c r="Z461" s="9"/>
      <c r="AD461" s="11"/>
    </row>
    <row r="462" spans="25:30" x14ac:dyDescent="0.35">
      <c r="Y462" s="10"/>
      <c r="Z462" s="9"/>
      <c r="AD462" s="11"/>
    </row>
    <row r="463" spans="25:30" x14ac:dyDescent="0.35">
      <c r="Y463" s="10"/>
      <c r="Z463" s="9"/>
      <c r="AD463" s="11"/>
    </row>
    <row r="464" spans="25:30" x14ac:dyDescent="0.35">
      <c r="Y464" s="10"/>
      <c r="Z464" s="9"/>
      <c r="AD464" s="11"/>
    </row>
    <row r="465" spans="25:30" x14ac:dyDescent="0.35">
      <c r="Y465" s="10"/>
      <c r="Z465" s="9"/>
      <c r="AD465" s="11"/>
    </row>
    <row r="466" spans="25:30" x14ac:dyDescent="0.35">
      <c r="Y466" s="10"/>
      <c r="Z466" s="9"/>
      <c r="AD466" s="11"/>
    </row>
    <row r="467" spans="25:30" x14ac:dyDescent="0.35">
      <c r="Y467" s="10"/>
      <c r="Z467" s="9"/>
      <c r="AD467" s="11"/>
    </row>
    <row r="468" spans="25:30" x14ac:dyDescent="0.35">
      <c r="Y468" s="10"/>
      <c r="Z468" s="9"/>
      <c r="AD468" s="11"/>
    </row>
    <row r="469" spans="25:30" x14ac:dyDescent="0.35">
      <c r="Y469" s="10"/>
      <c r="Z469" s="9"/>
      <c r="AD469" s="11"/>
    </row>
    <row r="470" spans="25:30" x14ac:dyDescent="0.35">
      <c r="Y470" s="10"/>
      <c r="Z470" s="9"/>
      <c r="AD470" s="11"/>
    </row>
    <row r="471" spans="25:30" x14ac:dyDescent="0.35">
      <c r="Y471" s="10"/>
      <c r="Z471" s="9"/>
      <c r="AD471" s="11"/>
    </row>
    <row r="472" spans="25:30" x14ac:dyDescent="0.35">
      <c r="Y472" s="10"/>
      <c r="Z472" s="9"/>
      <c r="AD472" s="11"/>
    </row>
    <row r="473" spans="25:30" x14ac:dyDescent="0.35">
      <c r="Y473" s="10"/>
      <c r="Z473" s="9"/>
      <c r="AD473" s="11"/>
    </row>
    <row r="474" spans="25:30" x14ac:dyDescent="0.35">
      <c r="Y474" s="10"/>
      <c r="Z474" s="9"/>
      <c r="AD474" s="11"/>
    </row>
    <row r="475" spans="25:30" x14ac:dyDescent="0.35">
      <c r="Y475" s="10"/>
      <c r="Z475" s="9"/>
      <c r="AD475" s="11"/>
    </row>
    <row r="476" spans="25:30" x14ac:dyDescent="0.35">
      <c r="Y476" s="10"/>
      <c r="Z476" s="9"/>
      <c r="AD476" s="11"/>
    </row>
    <row r="477" spans="25:30" x14ac:dyDescent="0.35">
      <c r="Y477" s="10"/>
      <c r="Z477" s="9"/>
      <c r="AD477" s="11"/>
    </row>
    <row r="478" spans="25:30" x14ac:dyDescent="0.35">
      <c r="Y478" s="10"/>
      <c r="Z478" s="9"/>
      <c r="AD478" s="11"/>
    </row>
    <row r="479" spans="25:30" x14ac:dyDescent="0.35">
      <c r="Y479" s="10"/>
      <c r="Z479" s="9"/>
      <c r="AD479" s="11"/>
    </row>
    <row r="480" spans="25:30" x14ac:dyDescent="0.35">
      <c r="Y480" s="10"/>
      <c r="Z480" s="9"/>
      <c r="AD480" s="11"/>
    </row>
    <row r="481" spans="25:30" x14ac:dyDescent="0.35">
      <c r="Y481" s="10"/>
      <c r="Z481" s="9"/>
      <c r="AD481" s="11"/>
    </row>
    <row r="482" spans="25:30" x14ac:dyDescent="0.35">
      <c r="Y482" s="10"/>
      <c r="Z482" s="9"/>
      <c r="AD482" s="11"/>
    </row>
  </sheetData>
  <mergeCells count="19">
    <mergeCell ref="AA4:AC4"/>
    <mergeCell ref="N5:Q5"/>
    <mergeCell ref="AA5:AC5"/>
    <mergeCell ref="N10:Q10"/>
    <mergeCell ref="AA10:AC10"/>
    <mergeCell ref="N6:Q6"/>
    <mergeCell ref="AA6:AC6"/>
    <mergeCell ref="N7:Q7"/>
    <mergeCell ref="AA7:AC7"/>
    <mergeCell ref="AA8:AC8"/>
    <mergeCell ref="N9:Q9"/>
    <mergeCell ref="AA9:AC9"/>
    <mergeCell ref="A1:K1"/>
    <mergeCell ref="A17:K17"/>
    <mergeCell ref="N11:Q11"/>
    <mergeCell ref="A18:C18"/>
    <mergeCell ref="D18:G18"/>
    <mergeCell ref="H18:K18"/>
    <mergeCell ref="N4:Q4"/>
  </mergeCells>
  <conditionalFormatting sqref="N11:Q11">
    <cfRule type="expression" dxfId="0" priority="1">
      <formula>$N$12="Warning"</formula>
    </cfRule>
  </conditionalFormatting>
  <dataValidations count="1">
    <dataValidation type="list" allowBlank="1" showInputMessage="1" showErrorMessage="1" sqref="U11" xr:uid="{2BF4841E-8473-46CA-9544-9863197F8A79}">
      <formula1>"Monthly, Quarterly, Yearly"</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A72D-D9BB-44C4-B32D-8D5F7D161777}">
  <dimension ref="A1:H13"/>
  <sheetViews>
    <sheetView workbookViewId="0">
      <selection activeCell="E20" sqref="E20"/>
    </sheetView>
  </sheetViews>
  <sheetFormatPr defaultRowHeight="14.5" x14ac:dyDescent="0.35"/>
  <cols>
    <col min="1" max="1" width="40.7265625" customWidth="1"/>
    <col min="2" max="2" width="10.7265625" style="5" customWidth="1"/>
    <col min="3" max="6" width="40.7265625" customWidth="1"/>
    <col min="7" max="7" width="20.7265625" customWidth="1"/>
  </cols>
  <sheetData>
    <row r="1" spans="1:8" s="4" customFormat="1" x14ac:dyDescent="0.35">
      <c r="A1" s="1" t="s">
        <v>0</v>
      </c>
      <c r="B1" s="2" t="s">
        <v>1</v>
      </c>
      <c r="C1" s="1" t="s">
        <v>7</v>
      </c>
      <c r="D1" s="1" t="s">
        <v>8</v>
      </c>
      <c r="E1" s="1" t="s">
        <v>9</v>
      </c>
      <c r="F1" s="1" t="s">
        <v>95</v>
      </c>
      <c r="G1" s="1" t="s">
        <v>21</v>
      </c>
      <c r="H1" s="1" t="s">
        <v>22</v>
      </c>
    </row>
    <row r="2" spans="1:8" s="7" customFormat="1" x14ac:dyDescent="0.35">
      <c r="A2"/>
      <c r="B2" s="5"/>
      <c r="C2"/>
      <c r="D2"/>
      <c r="E2"/>
      <c r="F2"/>
      <c r="G2"/>
      <c r="H2"/>
    </row>
    <row r="3" spans="1:8" s="7" customFormat="1" x14ac:dyDescent="0.35">
      <c r="A3"/>
      <c r="B3" s="5"/>
      <c r="C3"/>
      <c r="D3"/>
      <c r="E3"/>
      <c r="F3"/>
      <c r="G3"/>
      <c r="H3"/>
    </row>
    <row r="4" spans="1:8" s="7" customFormat="1" x14ac:dyDescent="0.35">
      <c r="A4"/>
      <c r="B4" s="5"/>
      <c r="C4"/>
      <c r="D4"/>
      <c r="E4"/>
      <c r="F4"/>
      <c r="G4"/>
      <c r="H4"/>
    </row>
    <row r="5" spans="1:8" s="7" customFormat="1" x14ac:dyDescent="0.35">
      <c r="A5"/>
      <c r="B5" s="5"/>
      <c r="C5"/>
      <c r="D5"/>
      <c r="E5"/>
      <c r="F5"/>
      <c r="G5"/>
      <c r="H5"/>
    </row>
    <row r="6" spans="1:8" s="7" customFormat="1" x14ac:dyDescent="0.35">
      <c r="A6"/>
      <c r="B6" s="5"/>
      <c r="C6"/>
      <c r="D6"/>
      <c r="E6"/>
      <c r="F6"/>
      <c r="G6"/>
      <c r="H6"/>
    </row>
    <row r="7" spans="1:8" s="7" customFormat="1" x14ac:dyDescent="0.35">
      <c r="A7"/>
      <c r="B7" s="5"/>
      <c r="C7"/>
      <c r="D7"/>
      <c r="E7"/>
      <c r="F7"/>
      <c r="G7"/>
      <c r="H7"/>
    </row>
    <row r="8" spans="1:8" s="7" customFormat="1" x14ac:dyDescent="0.35">
      <c r="A8"/>
      <c r="B8" s="5"/>
      <c r="C8"/>
      <c r="D8"/>
      <c r="E8"/>
      <c r="F8"/>
      <c r="G8"/>
      <c r="H8"/>
    </row>
    <row r="9" spans="1:8" s="7" customFormat="1" x14ac:dyDescent="0.35">
      <c r="A9"/>
      <c r="B9" s="5"/>
      <c r="C9"/>
      <c r="D9"/>
      <c r="E9"/>
      <c r="F9"/>
      <c r="G9"/>
      <c r="H9"/>
    </row>
    <row r="10" spans="1:8" s="7" customFormat="1" x14ac:dyDescent="0.35">
      <c r="A10"/>
      <c r="B10" s="5"/>
      <c r="C10"/>
      <c r="D10"/>
      <c r="E10"/>
      <c r="F10"/>
      <c r="G10"/>
      <c r="H10"/>
    </row>
    <row r="11" spans="1:8" s="7" customFormat="1" x14ac:dyDescent="0.35">
      <c r="A11"/>
      <c r="B11" s="5"/>
      <c r="C11"/>
      <c r="D11"/>
      <c r="E11"/>
      <c r="F11"/>
      <c r="G11"/>
      <c r="H11"/>
    </row>
    <row r="12" spans="1:8" s="7" customFormat="1" x14ac:dyDescent="0.35">
      <c r="A12"/>
      <c r="B12" s="5"/>
      <c r="C12"/>
      <c r="D12"/>
      <c r="E12"/>
      <c r="F12"/>
      <c r="G12"/>
      <c r="H12"/>
    </row>
    <row r="13" spans="1:8" s="7" customFormat="1" x14ac:dyDescent="0.35">
      <c r="A13"/>
      <c r="B13" s="5"/>
      <c r="C13"/>
      <c r="D13"/>
      <c r="E13"/>
      <c r="F13"/>
      <c r="G13"/>
      <c r="H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dlc_DocId xmlns="008318fa-2588-4fc3-855d-5932d0c2e437">FISPE-1636797245-147659</_dlc_DocId>
    <_dlc_DocIdUrl xmlns="008318fa-2588-4fc3-855d-5932d0c2e437">
      <Url>https://fisglobal.sharepoint.com/sites/Alternatives/PE/TC/_layouts/15/DocIdRedir.aspx?ID=FISPE-1636797245-147659</Url>
      <Description>FISPE-1636797245-147659</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7FD0B9EF9D5D548B59E6D11F78EE316" ma:contentTypeVersion="19" ma:contentTypeDescription="Create a new document." ma:contentTypeScope="" ma:versionID="7272b34fbd805e3d421530169b097ca6">
  <xsd:schema xmlns:xsd="http://www.w3.org/2001/XMLSchema" xmlns:xs="http://www.w3.org/2001/XMLSchema" xmlns:p="http://schemas.microsoft.com/office/2006/metadata/properties" xmlns:ns1="http://schemas.microsoft.com/sharepoint/v3" xmlns:ns2="52301827-6dac-4a9d-a546-ab8da9f92b96" xmlns:ns3="008318fa-2588-4fc3-855d-5932d0c2e437" xmlns:ns4="18d6e9df-7c3e-4296-82d0-8b8cda96d27e" targetNamespace="http://schemas.microsoft.com/office/2006/metadata/properties" ma:root="true" ma:fieldsID="9c0ef06008a164c3da63b57887bc1554" ns1:_="" ns2:_="" ns3:_="" ns4:_="">
    <xsd:import namespace="http://schemas.microsoft.com/sharepoint/v3"/>
    <xsd:import namespace="52301827-6dac-4a9d-a546-ab8da9f92b96"/>
    <xsd:import namespace="008318fa-2588-4fc3-855d-5932d0c2e437"/>
    <xsd:import namespace="18d6e9df-7c3e-4296-82d0-8b8cda96d27e"/>
    <xsd:element name="properties">
      <xsd:complexType>
        <xsd:sequence>
          <xsd:element name="documentManagement">
            <xsd:complexType>
              <xsd:all>
                <xsd:element ref="ns2:MediaServiceMetadata" minOccurs="0"/>
                <xsd:element ref="ns2:MediaServiceFastMetadata" minOccurs="0"/>
                <xsd:element ref="ns2:MediaServiceAutoTags" minOccurs="0"/>
                <xsd:element ref="ns3:_dlc_DocId" minOccurs="0"/>
                <xsd:element ref="ns3:_dlc_DocIdUrl" minOccurs="0"/>
                <xsd:element ref="ns3:_dlc_DocIdPersistId" minOccurs="0"/>
                <xsd:element ref="ns4:SharedWithUsers" minOccurs="0"/>
                <xsd:element ref="ns4:SharedWithDetails" minOccurs="0"/>
                <xsd:element ref="ns1:_ip_UnifiedCompliancePolicyProperties" minOccurs="0"/>
                <xsd:element ref="ns1:_ip_UnifiedCompliancePolicyUIAction" minOccurs="0"/>
                <xsd:element ref="ns2:MediaServiceOCR" minOccurs="0"/>
                <xsd:element ref="ns2:MediaServiceDateTaken" minOccurs="0"/>
                <xsd:element ref="ns2:MediaServiceAutoKeyPoints" minOccurs="0"/>
                <xsd:element ref="ns2:MediaServiceKeyPoints" minOccurs="0"/>
                <xsd:element ref="ns2:MediaServiceLocatio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2301827-6dac-4a9d-a546-ab8da9f92b96"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08318fa-2588-4fc3-855d-5932d0c2e437" elementFormDefault="qualified">
    <xsd:import namespace="http://schemas.microsoft.com/office/2006/documentManagement/types"/>
    <xsd:import namespace="http://schemas.microsoft.com/office/infopath/2007/PartnerControls"/>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8d6e9df-7c3e-4296-82d0-8b8cda96d27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19E468-9F0F-430A-B993-AA207B694046}">
  <ds:schemaRefs>
    <ds:schemaRef ds:uri="http://schemas.microsoft.com/office/2006/metadata/properties"/>
    <ds:schemaRef ds:uri="http://schemas.microsoft.com/office/infopath/2007/PartnerControls"/>
    <ds:schemaRef ds:uri="http://schemas.microsoft.com/sharepoint/v3"/>
    <ds:schemaRef ds:uri="008318fa-2588-4fc3-855d-5932d0c2e437"/>
  </ds:schemaRefs>
</ds:datastoreItem>
</file>

<file path=customXml/itemProps2.xml><?xml version="1.0" encoding="utf-8"?>
<ds:datastoreItem xmlns:ds="http://schemas.openxmlformats.org/officeDocument/2006/customXml" ds:itemID="{E2BD2F57-2961-439C-9A31-E1BFC6D77CEB}">
  <ds:schemaRefs>
    <ds:schemaRef ds:uri="http://schemas.microsoft.com/sharepoint/events"/>
  </ds:schemaRefs>
</ds:datastoreItem>
</file>

<file path=customXml/itemProps3.xml><?xml version="1.0" encoding="utf-8"?>
<ds:datastoreItem xmlns:ds="http://schemas.openxmlformats.org/officeDocument/2006/customXml" ds:itemID="{FB2A763A-5DA6-4D5B-BD33-5DE5DB569F4A}">
  <ds:schemaRefs>
    <ds:schemaRef ds:uri="http://schemas.microsoft.com/sharepoint/v3/contenttype/forms"/>
  </ds:schemaRefs>
</ds:datastoreItem>
</file>

<file path=customXml/itemProps4.xml><?xml version="1.0" encoding="utf-8"?>
<ds:datastoreItem xmlns:ds="http://schemas.openxmlformats.org/officeDocument/2006/customXml" ds:itemID="{4592F436-848D-41A3-8628-82543AAA8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2301827-6dac-4a9d-a546-ab8da9f92b96"/>
    <ds:schemaRef ds:uri="008318fa-2588-4fc3-855d-5932d0c2e437"/>
    <ds:schemaRef ds:uri="18d6e9df-7c3e-4296-82d0-8b8cda96d2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80</vt:i4>
      </vt:variant>
    </vt:vector>
  </HeadingPairs>
  <TitlesOfParts>
    <vt:vector size="83" baseType="lpstr">
      <vt:lpstr>DIU</vt:lpstr>
      <vt:lpstr>4_Alliance Manufacturing Conv_1</vt:lpstr>
      <vt:lpstr>DIU Income Security</vt:lpstr>
      <vt:lpstr>'4_Alliance Manufacturing Conv_1'!ColorFirst</vt:lpstr>
      <vt:lpstr>'4_Alliance Manufacturing Conv_1'!ColorLast</vt:lpstr>
      <vt:lpstr>DiuUploaded</vt:lpstr>
      <vt:lpstr>nFirst</vt:lpstr>
      <vt:lpstr>nLast</vt:lpstr>
      <vt:lpstr>rgnDetail</vt:lpstr>
      <vt:lpstr>rngAccrualBeginDate</vt:lpstr>
      <vt:lpstr>rngAccrualDayCount</vt:lpstr>
      <vt:lpstr>rngAccrualEndDate</vt:lpstr>
      <vt:lpstr>rngCashInterestPayment</vt:lpstr>
      <vt:lpstr>rngCashInterestPaymentTotal</vt:lpstr>
      <vt:lpstr>rngCouponRate</vt:lpstr>
      <vt:lpstr>rngCouponRateDetail</vt:lpstr>
      <vt:lpstr>rngCouponType</vt:lpstr>
      <vt:lpstr>rngCredit</vt:lpstr>
      <vt:lpstr>rngCumulativeInterestAccrued</vt:lpstr>
      <vt:lpstr>rngCumulativePikInterestAccrued</vt:lpstr>
      <vt:lpstr>rngCurrentInterestRate</vt:lpstr>
      <vt:lpstr>rngDailyAccruedInterest</vt:lpstr>
      <vt:lpstr>rngDailyAccruedInterestTotal</vt:lpstr>
      <vt:lpstr>rngDailyAccruedPikInterest</vt:lpstr>
      <vt:lpstr>rngDailyAccruedPikInterestTotal</vt:lpstr>
      <vt:lpstr>rngDayBasis</vt:lpstr>
      <vt:lpstr>rngDeal</vt:lpstr>
      <vt:lpstr>rngDealID</vt:lpstr>
      <vt:lpstr>rngDebit</vt:lpstr>
      <vt:lpstr>rngDiuAccount</vt:lpstr>
      <vt:lpstr>rngDiuAllocationRule</vt:lpstr>
      <vt:lpstr>rngDiuAmountLE</vt:lpstr>
      <vt:lpstr>rngDiuAmountLocal</vt:lpstr>
      <vt:lpstr>rngDiuBatchComments</vt:lpstr>
      <vt:lpstr>rngDiuBatchID</vt:lpstr>
      <vt:lpstr>rngDiuBatchType</vt:lpstr>
      <vt:lpstr>rngDiuDeal</vt:lpstr>
      <vt:lpstr>rngDiuDetail</vt:lpstr>
      <vt:lpstr>rngDiuEffectiveDate</vt:lpstr>
      <vt:lpstr>rngDiuGLDate</vt:lpstr>
      <vt:lpstr>rngDiuIncomeSecurity</vt:lpstr>
      <vt:lpstr>rngDiuIsDebit</vt:lpstr>
      <vt:lpstr>rngDiuJEIndex</vt:lpstr>
      <vt:lpstr>rngDiuLegalEntity</vt:lpstr>
      <vt:lpstr>rngDiuLegalEntityDomain</vt:lpstr>
      <vt:lpstr>rngDiuLEID</vt:lpstr>
      <vt:lpstr>rngDiuPosition</vt:lpstr>
      <vt:lpstr>rngDiuTransactionComments</vt:lpstr>
      <vt:lpstr>rngDiuTransactionFX</vt:lpstr>
      <vt:lpstr>rngDiuTransactionIndex</vt:lpstr>
      <vt:lpstr>rngDiuTransactionType</vt:lpstr>
      <vt:lpstr>rngDiuXLCOriginalAmount</vt:lpstr>
      <vt:lpstr>rngDiuxxx</vt:lpstr>
      <vt:lpstr>rngFaceValue</vt:lpstr>
      <vt:lpstr>rngFloatingRate</vt:lpstr>
      <vt:lpstr>rngFloatingRateDetail</vt:lpstr>
      <vt:lpstr>rngFrequency</vt:lpstr>
      <vt:lpstr>rngGLDate</vt:lpstr>
      <vt:lpstr>rngIncomeSecurity</vt:lpstr>
      <vt:lpstr>rngInitialPurchase</vt:lpstr>
      <vt:lpstr>rngInterestAdjustments</vt:lpstr>
      <vt:lpstr>rngInterestPreviousDay</vt:lpstr>
      <vt:lpstr>rngLastPicCapitalizationDate</vt:lpstr>
      <vt:lpstr>rngLastRow</vt:lpstr>
      <vt:lpstr>rngLeDomain</vt:lpstr>
      <vt:lpstr>rngLegalEntity</vt:lpstr>
      <vt:lpstr>rngLEID</vt:lpstr>
      <vt:lpstr>rngLoanBalance</vt:lpstr>
      <vt:lpstr>rngMaturityDate</vt:lpstr>
      <vt:lpstr>rngPaydateDayCount</vt:lpstr>
      <vt:lpstr>rngPikEnabled</vt:lpstr>
      <vt:lpstr>rngPikInterestAdjustments</vt:lpstr>
      <vt:lpstr>rngPikInterestRate</vt:lpstr>
      <vt:lpstr>rngPikPaydown</vt:lpstr>
      <vt:lpstr>rngPikPaydownTotal</vt:lpstr>
      <vt:lpstr>rngPikRate</vt:lpstr>
      <vt:lpstr>rngPosID</vt:lpstr>
      <vt:lpstr>rngPosition</vt:lpstr>
      <vt:lpstr>rngPrincipalDraws</vt:lpstr>
      <vt:lpstr>rngPrincipalPaydown</vt:lpstr>
      <vt:lpstr>rngPrincipalRepayment</vt:lpstr>
      <vt:lpstr>rngSecID</vt:lpstr>
      <vt:lpstr>rngSettlementDate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Potter, Lizbeth</dc:creator>
  <cp:keywords/>
  <dc:description/>
  <cp:lastModifiedBy>Landi, Paul</cp:lastModifiedBy>
  <cp:revision/>
  <dcterms:created xsi:type="dcterms:W3CDTF">2020-03-05T14:27:16Z</dcterms:created>
  <dcterms:modified xsi:type="dcterms:W3CDTF">2026-01-13T00:20:39Z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0x010100C7FD0B9EF9D5D548B59E6D11F78EE316</vt:lpwstr>
  </property>
  <property fmtid="{D5CDD505-2E9C-101B-9397-08002B2CF9AE}" pid="3" name="_dlc_DocIdItemGuid">
    <vt:lpwstr>e6d0e7e2-46db-4c2a-97e1-1661bc8522ed</vt:lpwstr>
  </property>
  <property fmtid="{D5CDD505-2E9C-101B-9397-08002B2CF9AE}" pid="4" name="MSIP_Label_9e1e58c1-766d-4ff4-9619-b604fc37898b_Enabled">
    <vt:lpwstr>true</vt:lpwstr>
  </property>
  <property fmtid="{D5CDD505-2E9C-101B-9397-08002B2CF9AE}" pid="5" name="MSIP_Label_9e1e58c1-766d-4ff4-9619-b604fc37898b_SetDate">
    <vt:lpwstr>2024-09-30T11:58:28Z</vt:lpwstr>
  </property>
  <property fmtid="{D5CDD505-2E9C-101B-9397-08002B2CF9AE}" pid="6" name="MSIP_Label_9e1e58c1-766d-4ff4-9619-b604fc37898b_Method">
    <vt:lpwstr>Standard</vt:lpwstr>
  </property>
  <property fmtid="{D5CDD505-2E9C-101B-9397-08002B2CF9AE}" pid="7" name="MSIP_Label_9e1e58c1-766d-4ff4-9619-b604fc37898b_Name">
    <vt:lpwstr>Internal Use</vt:lpwstr>
  </property>
  <property fmtid="{D5CDD505-2E9C-101B-9397-08002B2CF9AE}" pid="8" name="MSIP_Label_9e1e58c1-766d-4ff4-9619-b604fc37898b_SiteId">
    <vt:lpwstr>e3ff91d8-34c8-4b15-a0b4-18910a6ac575</vt:lpwstr>
  </property>
  <property fmtid="{D5CDD505-2E9C-101B-9397-08002B2CF9AE}" pid="9" name="MSIP_Label_9e1e58c1-766d-4ff4-9619-b604fc37898b_ActionId">
    <vt:lpwstr>cdf559af-0b8f-498e-ba8c-0861705f4da0</vt:lpwstr>
  </property>
  <property fmtid="{D5CDD505-2E9C-101B-9397-08002B2CF9AE}" pid="10" name="MSIP_Label_9e1e58c1-766d-4ff4-9619-b604fc37898b_ContentBits">
    <vt:lpwstr>0</vt:lpwstr>
  </property>
</Properties>
</file>