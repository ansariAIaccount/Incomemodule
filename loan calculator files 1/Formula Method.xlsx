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becca.Brown\Desktop\Income Accrual BE\"/>
    </mc:Choice>
  </mc:AlternateContent>
  <bookViews>
    <workbookView xWindow="0" yWindow="0" windowWidth="2520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7" i="1" l="1"/>
  <c r="H57" i="1"/>
  <c r="F57" i="1"/>
  <c r="J54" i="1"/>
  <c r="J55" i="1" s="1"/>
  <c r="H54" i="1"/>
  <c r="H55" i="1" s="1"/>
  <c r="F54" i="1"/>
  <c r="J39" i="1"/>
  <c r="H39" i="1"/>
  <c r="F39" i="1"/>
  <c r="H36" i="1"/>
  <c r="H37" i="1" s="1"/>
  <c r="J35" i="1"/>
  <c r="J36" i="1" s="1"/>
  <c r="J37" i="1" s="1"/>
  <c r="H35" i="1"/>
  <c r="F35" i="1"/>
  <c r="F36" i="1" s="1"/>
  <c r="F37" i="1" s="1"/>
  <c r="J34" i="1"/>
  <c r="H34" i="1"/>
  <c r="H38" i="1" s="1"/>
  <c r="H40" i="1" s="1"/>
  <c r="F34" i="1"/>
  <c r="F38" i="1" s="1"/>
  <c r="F40" i="1" s="1"/>
  <c r="J29" i="1"/>
  <c r="J53" i="1" s="1"/>
  <c r="H29" i="1"/>
  <c r="H53" i="1" s="1"/>
  <c r="H56" i="1" s="1"/>
  <c r="H58" i="1" s="1"/>
  <c r="F29" i="1"/>
  <c r="F53" i="1" s="1"/>
  <c r="F56" i="1" s="1"/>
  <c r="F58" i="1" s="1"/>
  <c r="J26" i="1"/>
  <c r="H26" i="1"/>
  <c r="F26" i="1"/>
  <c r="F55" i="1" s="1"/>
  <c r="J38" i="1" l="1"/>
  <c r="J40" i="1" s="1"/>
  <c r="J56" i="1"/>
  <c r="J58" i="1" s="1"/>
</calcChain>
</file>

<file path=xl/sharedStrings.xml><?xml version="1.0" encoding="utf-8"?>
<sst xmlns="http://schemas.openxmlformats.org/spreadsheetml/2006/main" count="76" uniqueCount="69">
  <si>
    <t>Formulas to calculation Effective Interest Metadate:</t>
  </si>
  <si>
    <t>Effective Yield (DR)</t>
  </si>
  <si>
    <t>The option for each of these should be on the Income Security panel.</t>
  </si>
  <si>
    <t>There is a field existing called:</t>
  </si>
  <si>
    <t>Effective Interest Calculation Methodology</t>
  </si>
  <si>
    <t>This field has two drop down - PRICE and IRR</t>
  </si>
  <si>
    <t>The drop down should be extended/amended as follows:</t>
  </si>
  <si>
    <t>Method 1 (custom formula) - add as new option</t>
  </si>
  <si>
    <t>Method 2 (PRICE) - retain</t>
  </si>
  <si>
    <t>Method 3 (generic formula) - add a new option</t>
  </si>
  <si>
    <t>IRR - remove</t>
  </si>
  <si>
    <t>The mathematics to calculate the Effective Yield (DR) metadata should be determined on the selection in this field.</t>
  </si>
  <si>
    <t>If Method 1 is selected, than the formula indicated in method 1 should be used</t>
  </si>
  <si>
    <t>If Method 2 is selected, than the formula indicated in method 1 should be used</t>
  </si>
  <si>
    <t>If Method 3 is selected, than the formula indicated in method 1 should be used</t>
  </si>
  <si>
    <t>If there is a client provided figure in the existing field within the Income Security Panel, than that field should be used as the effective yield, without a need for any calculation</t>
  </si>
  <si>
    <t>Parameters:</t>
  </si>
  <si>
    <t>Test Data</t>
  </si>
  <si>
    <t>Principal</t>
  </si>
  <si>
    <t>P</t>
  </si>
  <si>
    <t>The outstanding principal balance of the coupon yielding instrument</t>
  </si>
  <si>
    <t>Carrying Value</t>
  </si>
  <si>
    <t>CV</t>
  </si>
  <si>
    <t>The carrying value of the coupon yielding instrument</t>
  </si>
  <si>
    <t>Settlement date</t>
  </si>
  <si>
    <r>
      <t>D</t>
    </r>
    <r>
      <rPr>
        <b/>
        <vertAlign val="subscript"/>
        <sz val="9"/>
        <color theme="1"/>
        <rFont val="Calibri"/>
        <family val="2"/>
        <scheme val="minor"/>
      </rPr>
      <t>1</t>
    </r>
  </si>
  <si>
    <t>Date the instrument is closed and starts yielding interest</t>
  </si>
  <si>
    <t>Maturity date</t>
  </si>
  <si>
    <r>
      <t>D</t>
    </r>
    <r>
      <rPr>
        <b/>
        <vertAlign val="subscript"/>
        <sz val="9"/>
        <color theme="1"/>
        <rFont val="Calibri"/>
        <family val="2"/>
        <scheme val="minor"/>
      </rPr>
      <t>2</t>
    </r>
  </si>
  <si>
    <t>Date the instrument matures and is due for repayment</t>
  </si>
  <si>
    <t>Years to maturity</t>
  </si>
  <si>
    <t>m</t>
  </si>
  <si>
    <t>Coupon rate</t>
  </si>
  <si>
    <r>
      <t>I</t>
    </r>
    <r>
      <rPr>
        <b/>
        <vertAlign val="subscript"/>
        <sz val="9"/>
        <color theme="1"/>
        <rFont val="Calibri"/>
        <family val="2"/>
        <scheme val="minor"/>
      </rPr>
      <t>1</t>
    </r>
  </si>
  <si>
    <t>Interest rate / coupon of the instrument</t>
  </si>
  <si>
    <t>PIK rate</t>
  </si>
  <si>
    <r>
      <t>I</t>
    </r>
    <r>
      <rPr>
        <b/>
        <vertAlign val="subscript"/>
        <sz val="9"/>
        <color theme="1"/>
        <rFont val="Calibri"/>
        <family val="2"/>
        <scheme val="minor"/>
      </rPr>
      <t>2</t>
    </r>
  </si>
  <si>
    <t>Additional interest rate in kind of the instrument</t>
  </si>
  <si>
    <t>Interest Payment</t>
  </si>
  <si>
    <t>PMT</t>
  </si>
  <si>
    <t>Method 1 - custom formula (from Main Street Capital)</t>
  </si>
  <si>
    <t>Already exists as metadata, to be added as optional field with subsequent logic</t>
  </si>
  <si>
    <t>P / CV</t>
  </si>
  <si>
    <t>= A</t>
  </si>
  <si>
    <r>
      <t>(D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– D</t>
    </r>
    <r>
      <rPr>
        <vertAlign val="sub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)</t>
    </r>
  </si>
  <si>
    <r>
      <t>(D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– D</t>
    </r>
    <r>
      <rPr>
        <vertAlign val="sub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) / 365</t>
    </r>
  </si>
  <si>
    <r>
      <t>1/[(D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– D</t>
    </r>
    <r>
      <rPr>
        <vertAlign val="sub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) / 365]</t>
    </r>
  </si>
  <si>
    <t>= B</t>
  </si>
  <si>
    <r>
      <t>A</t>
    </r>
    <r>
      <rPr>
        <vertAlign val="superscript"/>
        <sz val="9"/>
        <color theme="1"/>
        <rFont val="Calibri"/>
        <family val="2"/>
        <scheme val="minor"/>
      </rPr>
      <t>B</t>
    </r>
  </si>
  <si>
    <t>= C</t>
  </si>
  <si>
    <r>
      <t>I</t>
    </r>
    <r>
      <rPr>
        <vertAlign val="sub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+ I</t>
    </r>
    <r>
      <rPr>
        <vertAlign val="subscript"/>
        <sz val="9"/>
        <color theme="1"/>
        <rFont val="Calibri"/>
        <family val="2"/>
        <scheme val="minor"/>
      </rPr>
      <t>2</t>
    </r>
  </si>
  <si>
    <t>= D</t>
  </si>
  <si>
    <t>Effective Interest</t>
  </si>
  <si>
    <t>= C - 1 + D</t>
  </si>
  <si>
    <t>Method 2 - as in original AT - the PRICE Methodology</t>
  </si>
  <si>
    <t>Highest priority is terms of calculations methods</t>
  </si>
  <si>
    <t>Iterations to find the appropriate rate, as per attached file.  This exists for the AT, needs to be used in BE</t>
  </si>
  <si>
    <t>Need to add logic to make this method used (if selected) as calculation for effective yield metadata</t>
  </si>
  <si>
    <t>Method 3</t>
  </si>
  <si>
    <t>Next highest priority</t>
  </si>
  <si>
    <t>P - CV</t>
  </si>
  <si>
    <t>(P - CV)/m</t>
  </si>
  <si>
    <t>PMT + A</t>
  </si>
  <si>
    <t>(CV + P)/2</t>
  </si>
  <si>
    <t>= B/C</t>
  </si>
  <si>
    <t>Method 4 - client override</t>
  </si>
  <si>
    <t>This field exists in the Income Security Screen</t>
  </si>
  <si>
    <t>Logic within business event is to use this field to calculate the metadata if is populated, overriding the other methods</t>
  </si>
  <si>
    <t>Metadata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</si>
</sst>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bscript"/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64" fontId="3" fillId="0" borderId="0" xfId="1" applyNumberFormat="1" applyFont="1"/>
    <xf numFmtId="14" fontId="3" fillId="0" borderId="0" xfId="1" applyNumberFormat="1" applyFont="1"/>
    <xf numFmtId="43" fontId="3" fillId="0" borderId="0" xfId="1" applyFont="1"/>
    <xf numFmtId="43" fontId="3" fillId="0" borderId="0" xfId="1" applyNumberFormat="1" applyFont="1"/>
    <xf numFmtId="10" fontId="3" fillId="0" borderId="0" xfId="2" applyNumberFormat="1" applyFont="1"/>
    <xf numFmtId="0" fontId="2" fillId="2" borderId="0" xfId="0" applyFont="1" applyFill="1"/>
    <xf numFmtId="0" fontId="3" fillId="2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horizontal="left" vertical="center"/>
    </xf>
    <xf numFmtId="10" fontId="3" fillId="3" borderId="0" xfId="2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/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2" fillId="4" borderId="0" xfId="0" applyFont="1" applyFill="1"/>
    <xf numFmtId="0" fontId="3" fillId="4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32</xdr:row>
      <xdr:rowOff>171450</xdr:rowOff>
    </xdr:from>
    <xdr:to>
      <xdr:col>18</xdr:col>
      <xdr:colOff>228600</xdr:colOff>
      <xdr:row>39</xdr:row>
      <xdr:rowOff>146060</xdr:rowOff>
    </xdr:to>
    <xdr:grpSp>
      <xdr:nvGrpSpPr>
        <xdr:cNvPr id="2" name="Group 1"/>
        <xdr:cNvGrpSpPr>
          <a:grpSpLocks noChangeAspect="1"/>
        </xdr:cNvGrpSpPr>
      </xdr:nvGrpSpPr>
      <xdr:grpSpPr>
        <a:xfrm>
          <a:off x="8639175" y="5105400"/>
          <a:ext cx="3886200" cy="1165235"/>
          <a:chOff x="1569720" y="440025"/>
          <a:chExt cx="3886200" cy="1308110"/>
        </a:xfrm>
      </xdr:grpSpPr>
      <xdr:sp macro="" textlink="">
        <xdr:nvSpPr>
          <xdr:cNvPr id="3" name="TextBox 4"/>
          <xdr:cNvSpPr txBox="1"/>
        </xdr:nvSpPr>
        <xdr:spPr>
          <a:xfrm>
            <a:off x="1752600" y="909935"/>
            <a:ext cx="365760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/>
              <a:t>P</a:t>
            </a:r>
          </a:p>
        </xdr:txBody>
      </xdr:sp>
      <xdr:sp macro="" textlink="">
        <xdr:nvSpPr>
          <xdr:cNvPr id="4" name="TextBox 5"/>
          <xdr:cNvSpPr txBox="1"/>
        </xdr:nvSpPr>
        <xdr:spPr>
          <a:xfrm>
            <a:off x="1661160" y="1290935"/>
            <a:ext cx="548640" cy="4572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/>
              <a:t>CV</a:t>
            </a:r>
          </a:p>
        </xdr:txBody>
      </xdr:sp>
      <xdr:cxnSp macro="">
        <xdr:nvCxnSpPr>
          <xdr:cNvPr id="5" name="Straight Connector 4"/>
          <xdr:cNvCxnSpPr/>
        </xdr:nvCxnSpPr>
        <xdr:spPr>
          <a:xfrm>
            <a:off x="1661160" y="1310045"/>
            <a:ext cx="54864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Double Bracket 5"/>
          <xdr:cNvSpPr/>
        </xdr:nvSpPr>
        <xdr:spPr>
          <a:xfrm>
            <a:off x="1569720" y="909935"/>
            <a:ext cx="731520" cy="822960"/>
          </a:xfrm>
          <a:prstGeom prst="bracketPair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TextBox 6"/>
          <xdr:cNvSpPr txBox="1"/>
        </xdr:nvSpPr>
        <xdr:spPr>
          <a:xfrm>
            <a:off x="2407920" y="714345"/>
            <a:ext cx="1097280" cy="27432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(D</a:t>
            </a:r>
            <a:r>
              <a:rPr lang="en-US" sz="1200" baseline="-25000"/>
              <a:t>1</a:t>
            </a:r>
            <a:r>
              <a:rPr lang="en-US" sz="1200"/>
              <a:t> – D</a:t>
            </a:r>
            <a:r>
              <a:rPr lang="en-US" sz="1200" baseline="-25000"/>
              <a:t>2</a:t>
            </a:r>
            <a:r>
              <a:rPr lang="en-US" sz="1200"/>
              <a:t>) / 365</a:t>
            </a:r>
            <a:endParaRPr lang="en-US" sz="1200" baseline="-25000"/>
          </a:p>
        </xdr:txBody>
      </xdr:sp>
      <xdr:sp macro="" textlink="">
        <xdr:nvSpPr>
          <xdr:cNvPr id="8" name="TextBox 7"/>
          <xdr:cNvSpPr txBox="1"/>
        </xdr:nvSpPr>
        <xdr:spPr>
          <a:xfrm>
            <a:off x="2682240" y="440025"/>
            <a:ext cx="548640" cy="27432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/>
              <a:t>1</a:t>
            </a:r>
          </a:p>
        </xdr:txBody>
      </xdr:sp>
      <xdr:cxnSp macro="">
        <xdr:nvCxnSpPr>
          <xdr:cNvPr id="9" name="Straight Connector 8"/>
          <xdr:cNvCxnSpPr/>
        </xdr:nvCxnSpPr>
        <xdr:spPr>
          <a:xfrm>
            <a:off x="2423160" y="725775"/>
            <a:ext cx="109728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Double Bracket 9"/>
          <xdr:cNvSpPr/>
        </xdr:nvSpPr>
        <xdr:spPr>
          <a:xfrm>
            <a:off x="2346960" y="470505"/>
            <a:ext cx="1234440" cy="548640"/>
          </a:xfrm>
          <a:prstGeom prst="bracketPair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cxnSp macro="">
        <xdr:nvCxnSpPr>
          <xdr:cNvPr id="11" name="Straight Connector 10"/>
          <xdr:cNvCxnSpPr/>
        </xdr:nvCxnSpPr>
        <xdr:spPr>
          <a:xfrm>
            <a:off x="2819400" y="1371600"/>
            <a:ext cx="457200" cy="0"/>
          </a:xfrm>
          <a:prstGeom prst="line">
            <a:avLst/>
          </a:prstGeom>
          <a:ln w="158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7"/>
          <xdr:cNvSpPr txBox="1"/>
        </xdr:nvSpPr>
        <xdr:spPr>
          <a:xfrm>
            <a:off x="3352800" y="1127104"/>
            <a:ext cx="2103120" cy="4572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/>
              <a:t>1+(I</a:t>
            </a:r>
            <a:r>
              <a:rPr lang="en-US" sz="2400" baseline="-25000"/>
              <a:t>1</a:t>
            </a:r>
            <a:r>
              <a:rPr lang="en-US" sz="2400"/>
              <a:t> + I</a:t>
            </a:r>
            <a:r>
              <a:rPr lang="en-US" sz="2400" baseline="-25000"/>
              <a:t>2</a:t>
            </a:r>
            <a:r>
              <a:rPr lang="en-US" sz="2400"/>
              <a:t>)</a:t>
            </a:r>
            <a:endParaRPr lang="en-US" sz="2400" baseline="-25000"/>
          </a:p>
        </xdr:txBody>
      </xdr:sp>
    </xdr:grpSp>
    <xdr:clientData/>
  </xdr:twoCellAnchor>
  <xdr:twoCellAnchor editAs="oneCell">
    <xdr:from>
      <xdr:col>12</xdr:col>
      <xdr:colOff>28575</xdr:colOff>
      <xdr:row>51</xdr:row>
      <xdr:rowOff>76199</xdr:rowOff>
    </xdr:from>
    <xdr:to>
      <xdr:col>16</xdr:col>
      <xdr:colOff>4461</xdr:colOff>
      <xdr:row>62</xdr:row>
      <xdr:rowOff>40260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8029574"/>
          <a:ext cx="2414286" cy="1640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abSelected="1" workbookViewId="0">
      <selection activeCell="E42" sqref="E42"/>
    </sheetView>
  </sheetViews>
  <sheetFormatPr defaultRowHeight="12" x14ac:dyDescent="0.2"/>
  <cols>
    <col min="1" max="1" width="9.140625" style="2"/>
    <col min="2" max="2" width="2.7109375" style="2" customWidth="1"/>
    <col min="3" max="3" width="4.7109375" style="2" customWidth="1"/>
    <col min="4" max="4" width="17.42578125" style="2" customWidth="1"/>
    <col min="5" max="5" width="17.85546875" style="2" customWidth="1"/>
    <col min="6" max="6" width="13.7109375" style="2" customWidth="1"/>
    <col min="7" max="7" width="9.140625" style="2"/>
    <col min="8" max="8" width="13.7109375" style="2" customWidth="1"/>
    <col min="9" max="9" width="9.140625" style="2"/>
    <col min="10" max="10" width="13.7109375" style="2" customWidth="1"/>
    <col min="11" max="16384" width="9.140625" style="2"/>
  </cols>
  <sheetData>
    <row r="1" spans="1:4" x14ac:dyDescent="0.2">
      <c r="A1" s="1" t="s">
        <v>0</v>
      </c>
    </row>
    <row r="2" spans="1:4" x14ac:dyDescent="0.2">
      <c r="B2" s="1" t="s">
        <v>1</v>
      </c>
    </row>
    <row r="4" spans="1:4" x14ac:dyDescent="0.2">
      <c r="B4" s="2" t="s">
        <v>2</v>
      </c>
    </row>
    <row r="5" spans="1:4" x14ac:dyDescent="0.2">
      <c r="B5" s="2" t="s">
        <v>3</v>
      </c>
    </row>
    <row r="6" spans="1:4" x14ac:dyDescent="0.2">
      <c r="D6" s="1" t="s">
        <v>4</v>
      </c>
    </row>
    <row r="7" spans="1:4" x14ac:dyDescent="0.2">
      <c r="C7" s="2" t="s">
        <v>5</v>
      </c>
    </row>
    <row r="8" spans="1:4" x14ac:dyDescent="0.2">
      <c r="C8" s="2" t="s">
        <v>6</v>
      </c>
    </row>
    <row r="9" spans="1:4" x14ac:dyDescent="0.2">
      <c r="D9" s="2" t="s">
        <v>7</v>
      </c>
    </row>
    <row r="10" spans="1:4" x14ac:dyDescent="0.2">
      <c r="D10" s="2" t="s">
        <v>8</v>
      </c>
    </row>
    <row r="11" spans="1:4" x14ac:dyDescent="0.2">
      <c r="D11" s="2" t="s">
        <v>9</v>
      </c>
    </row>
    <row r="12" spans="1:4" x14ac:dyDescent="0.2">
      <c r="D12" s="2" t="s">
        <v>10</v>
      </c>
    </row>
    <row r="13" spans="1:4" x14ac:dyDescent="0.2">
      <c r="B13" s="2" t="s">
        <v>11</v>
      </c>
    </row>
    <row r="14" spans="1:4" x14ac:dyDescent="0.2">
      <c r="C14" s="2" t="s">
        <v>12</v>
      </c>
    </row>
    <row r="15" spans="1:4" x14ac:dyDescent="0.2">
      <c r="C15" s="2" t="s">
        <v>13</v>
      </c>
    </row>
    <row r="16" spans="1:4" x14ac:dyDescent="0.2">
      <c r="C16" s="2" t="s">
        <v>14</v>
      </c>
    </row>
    <row r="17" spans="2:13" x14ac:dyDescent="0.2">
      <c r="B17" s="2" t="s">
        <v>15</v>
      </c>
    </row>
    <row r="20" spans="2:13" x14ac:dyDescent="0.2">
      <c r="B20" s="1" t="s">
        <v>16</v>
      </c>
      <c r="F20" s="3" t="s">
        <v>17</v>
      </c>
      <c r="H20" s="3" t="s">
        <v>17</v>
      </c>
      <c r="J20" s="3" t="s">
        <v>17</v>
      </c>
    </row>
    <row r="22" spans="2:13" x14ac:dyDescent="0.2">
      <c r="C22" s="2" t="s">
        <v>18</v>
      </c>
      <c r="E22" s="3" t="s">
        <v>19</v>
      </c>
      <c r="F22" s="4">
        <v>1320000</v>
      </c>
      <c r="H22" s="4">
        <v>10000000</v>
      </c>
      <c r="J22" s="4">
        <v>10000000</v>
      </c>
      <c r="M22" s="2" t="s">
        <v>20</v>
      </c>
    </row>
    <row r="23" spans="2:13" x14ac:dyDescent="0.2">
      <c r="C23" s="2" t="s">
        <v>21</v>
      </c>
      <c r="E23" s="3" t="s">
        <v>22</v>
      </c>
      <c r="F23" s="4">
        <v>1227600</v>
      </c>
      <c r="H23" s="4">
        <v>8500000</v>
      </c>
      <c r="J23" s="4">
        <v>9000000</v>
      </c>
      <c r="M23" s="2" t="s">
        <v>23</v>
      </c>
    </row>
    <row r="24" spans="2:13" ht="13.5" x14ac:dyDescent="0.25">
      <c r="C24" s="2" t="s">
        <v>24</v>
      </c>
      <c r="E24" s="3" t="s">
        <v>25</v>
      </c>
      <c r="F24" s="5">
        <v>39735</v>
      </c>
      <c r="H24" s="5">
        <v>41437</v>
      </c>
      <c r="J24" s="5">
        <v>41437</v>
      </c>
      <c r="M24" s="2" t="s">
        <v>26</v>
      </c>
    </row>
    <row r="25" spans="2:13" ht="13.5" x14ac:dyDescent="0.25">
      <c r="C25" s="2" t="s">
        <v>27</v>
      </c>
      <c r="E25" s="3" t="s">
        <v>28</v>
      </c>
      <c r="F25" s="5">
        <v>41564</v>
      </c>
      <c r="H25" s="5">
        <v>45089</v>
      </c>
      <c r="J25" s="5">
        <v>45089</v>
      </c>
      <c r="M25" s="2" t="s">
        <v>29</v>
      </c>
    </row>
    <row r="26" spans="2:13" x14ac:dyDescent="0.2">
      <c r="C26" s="2" t="s">
        <v>30</v>
      </c>
      <c r="E26" s="3" t="s">
        <v>31</v>
      </c>
      <c r="F26" s="6">
        <f>(F25-F24)/365</f>
        <v>5.0109589041095894</v>
      </c>
      <c r="H26" s="7">
        <f>(H25-H24)/360</f>
        <v>10.144444444444444</v>
      </c>
      <c r="J26" s="7">
        <f>(J25-J24)/360</f>
        <v>10.144444444444444</v>
      </c>
    </row>
    <row r="27" spans="2:13" ht="13.5" x14ac:dyDescent="0.25">
      <c r="C27" s="2" t="s">
        <v>32</v>
      </c>
      <c r="E27" s="3" t="s">
        <v>33</v>
      </c>
      <c r="F27" s="8">
        <v>0.13</v>
      </c>
      <c r="H27" s="8">
        <v>0.1</v>
      </c>
      <c r="J27" s="8">
        <v>0.1</v>
      </c>
      <c r="M27" s="2" t="s">
        <v>34</v>
      </c>
    </row>
    <row r="28" spans="2:13" ht="13.5" x14ac:dyDescent="0.25">
      <c r="C28" s="2" t="s">
        <v>35</v>
      </c>
      <c r="E28" s="3" t="s">
        <v>36</v>
      </c>
      <c r="F28" s="8">
        <v>0</v>
      </c>
      <c r="H28" s="8">
        <v>0.05</v>
      </c>
      <c r="J28" s="8">
        <v>0.05</v>
      </c>
      <c r="M28" s="2" t="s">
        <v>37</v>
      </c>
    </row>
    <row r="29" spans="2:13" x14ac:dyDescent="0.2">
      <c r="C29" s="2" t="s">
        <v>38</v>
      </c>
      <c r="E29" s="3" t="s">
        <v>39</v>
      </c>
      <c r="F29" s="6">
        <f>SUM(F27:F28)*F22</f>
        <v>171600</v>
      </c>
      <c r="H29" s="6">
        <f>SUM(H27:H28)*H22</f>
        <v>1500000.0000000002</v>
      </c>
      <c r="J29" s="6">
        <f>SUM(J27:J28)*J22</f>
        <v>1500000.0000000002</v>
      </c>
    </row>
    <row r="31" spans="2:13" s="10" customFormat="1" x14ac:dyDescent="0.2">
      <c r="B31" s="9" t="s">
        <v>40</v>
      </c>
    </row>
    <row r="32" spans="2:13" x14ac:dyDescent="0.2">
      <c r="C32" s="2" t="s">
        <v>41</v>
      </c>
    </row>
    <row r="34" spans="2:10" x14ac:dyDescent="0.2">
      <c r="B34" s="11"/>
      <c r="C34" s="12">
        <v>1</v>
      </c>
      <c r="D34" s="11" t="s">
        <v>42</v>
      </c>
      <c r="E34" s="13" t="s">
        <v>43</v>
      </c>
      <c r="F34" s="14">
        <f>F22/F23</f>
        <v>1.075268817204301</v>
      </c>
      <c r="H34" s="14">
        <f>H22/H23</f>
        <v>1.1764705882352942</v>
      </c>
      <c r="J34" s="14">
        <f>J22/J23</f>
        <v>1.1111111111111112</v>
      </c>
    </row>
    <row r="35" spans="2:10" ht="13.5" x14ac:dyDescent="0.2">
      <c r="B35" s="11"/>
      <c r="C35" s="12">
        <v>2</v>
      </c>
      <c r="D35" s="15" t="s">
        <v>44</v>
      </c>
      <c r="E35" s="11"/>
      <c r="F35" s="14">
        <f>F25-F24</f>
        <v>1829</v>
      </c>
      <c r="H35" s="14">
        <f>H25-H24</f>
        <v>3652</v>
      </c>
      <c r="J35" s="14">
        <f>J25-J24</f>
        <v>3652</v>
      </c>
    </row>
    <row r="36" spans="2:10" ht="13.5" x14ac:dyDescent="0.2">
      <c r="B36" s="11"/>
      <c r="C36" s="12">
        <v>3</v>
      </c>
      <c r="D36" s="15" t="s">
        <v>45</v>
      </c>
      <c r="E36" s="11"/>
      <c r="F36" s="16">
        <f>F35/365</f>
        <v>5.0109589041095894</v>
      </c>
      <c r="H36" s="16">
        <f>H35/365</f>
        <v>10.005479452054795</v>
      </c>
      <c r="J36" s="16">
        <f>J35/365</f>
        <v>10.005479452054795</v>
      </c>
    </row>
    <row r="37" spans="2:10" ht="13.5" x14ac:dyDescent="0.2">
      <c r="B37" s="11"/>
      <c r="C37" s="12">
        <v>4</v>
      </c>
      <c r="D37" s="15" t="s">
        <v>46</v>
      </c>
      <c r="E37" s="13" t="s">
        <v>47</v>
      </c>
      <c r="F37" s="14">
        <f>1/F36</f>
        <v>0.19956260251503552</v>
      </c>
      <c r="H37" s="14">
        <f>1/H36</f>
        <v>9.9945235487404166E-2</v>
      </c>
      <c r="J37" s="14">
        <f>1/J36</f>
        <v>9.9945235487404166E-2</v>
      </c>
    </row>
    <row r="38" spans="2:10" ht="14.25" x14ac:dyDescent="0.2">
      <c r="B38" s="11"/>
      <c r="C38" s="12">
        <v>5</v>
      </c>
      <c r="D38" s="15" t="s">
        <v>48</v>
      </c>
      <c r="E38" s="13" t="s">
        <v>49</v>
      </c>
      <c r="F38" s="14">
        <f>F34^F37</f>
        <v>1.0145877743242437</v>
      </c>
      <c r="H38" s="14">
        <f>H34^H37</f>
        <v>1.0163756272397133</v>
      </c>
      <c r="J38" s="14">
        <f>J34^J37</f>
        <v>1.0105859200882397</v>
      </c>
    </row>
    <row r="39" spans="2:10" ht="13.5" x14ac:dyDescent="0.2">
      <c r="B39" s="11"/>
      <c r="C39" s="12">
        <v>6</v>
      </c>
      <c r="D39" s="11" t="s">
        <v>50</v>
      </c>
      <c r="E39" s="13" t="s">
        <v>51</v>
      </c>
      <c r="F39" s="17">
        <f>F27+F28</f>
        <v>0.13</v>
      </c>
      <c r="H39" s="17">
        <f>H27+H28</f>
        <v>0.15000000000000002</v>
      </c>
      <c r="J39" s="17">
        <f>J27+J28</f>
        <v>0.15000000000000002</v>
      </c>
    </row>
    <row r="40" spans="2:10" x14ac:dyDescent="0.2">
      <c r="B40" s="11"/>
      <c r="C40" s="12">
        <v>7</v>
      </c>
      <c r="D40" s="15" t="s">
        <v>52</v>
      </c>
      <c r="E40" s="18" t="s">
        <v>53</v>
      </c>
      <c r="F40" s="19">
        <f>F38-1+F39</f>
        <v>0.14458777432424375</v>
      </c>
      <c r="H40" s="19">
        <f>H38-1+H39</f>
        <v>0.16637562723971333</v>
      </c>
      <c r="J40" s="19">
        <f>J38-1+J39</f>
        <v>0.16058592008823969</v>
      </c>
    </row>
    <row r="41" spans="2:10" x14ac:dyDescent="0.2">
      <c r="B41" s="11"/>
      <c r="C41" s="11"/>
      <c r="D41" s="11"/>
      <c r="E41" s="11"/>
      <c r="F41" s="11"/>
      <c r="H41" s="11"/>
      <c r="J41" s="11"/>
    </row>
    <row r="42" spans="2:10" x14ac:dyDescent="0.2">
      <c r="B42" s="11"/>
      <c r="C42" s="11"/>
      <c r="D42" s="11"/>
      <c r="E42" s="11"/>
      <c r="F42" s="11"/>
      <c r="H42" s="11"/>
      <c r="J42" s="11"/>
    </row>
    <row r="43" spans="2:10" x14ac:dyDescent="0.2">
      <c r="B43" s="11"/>
      <c r="C43" s="11"/>
      <c r="D43" s="11"/>
      <c r="E43" s="11"/>
      <c r="F43" s="11"/>
      <c r="H43" s="11"/>
      <c r="J43" s="11"/>
    </row>
    <row r="44" spans="2:10" s="10" customFormat="1" x14ac:dyDescent="0.2">
      <c r="B44" s="9" t="s">
        <v>54</v>
      </c>
    </row>
    <row r="45" spans="2:10" x14ac:dyDescent="0.2">
      <c r="D45" s="2" t="s">
        <v>55</v>
      </c>
    </row>
    <row r="46" spans="2:10" x14ac:dyDescent="0.2">
      <c r="D46" s="2" t="s">
        <v>56</v>
      </c>
    </row>
    <row r="47" spans="2:10" x14ac:dyDescent="0.2">
      <c r="B47" s="11"/>
      <c r="C47" s="11"/>
      <c r="D47" s="11" t="s">
        <v>57</v>
      </c>
      <c r="E47" s="11"/>
      <c r="F47" s="11"/>
      <c r="H47" s="11"/>
      <c r="J47" s="11"/>
    </row>
    <row r="48" spans="2:10" x14ac:dyDescent="0.2">
      <c r="B48" s="11"/>
      <c r="C48" s="11"/>
      <c r="D48" s="11"/>
      <c r="E48" s="11"/>
      <c r="F48" s="11"/>
      <c r="H48" s="11"/>
      <c r="J48" s="11"/>
    </row>
    <row r="49" spans="2:10" s="10" customFormat="1" x14ac:dyDescent="0.2">
      <c r="B49" s="20" t="s">
        <v>58</v>
      </c>
      <c r="C49" s="21"/>
      <c r="D49" s="21"/>
      <c r="E49" s="21"/>
      <c r="F49" s="21"/>
      <c r="H49" s="21"/>
      <c r="J49" s="21"/>
    </row>
    <row r="50" spans="2:10" x14ac:dyDescent="0.2">
      <c r="B50" s="11"/>
      <c r="C50" s="11"/>
      <c r="D50" s="11" t="s">
        <v>59</v>
      </c>
      <c r="E50" s="11"/>
      <c r="F50" s="11"/>
      <c r="H50" s="11"/>
      <c r="J50" s="11"/>
    </row>
    <row r="51" spans="2:10" x14ac:dyDescent="0.2">
      <c r="B51" s="11"/>
      <c r="C51" s="11"/>
      <c r="D51" s="11"/>
      <c r="E51" s="11"/>
      <c r="F51" s="11"/>
      <c r="H51" s="11"/>
      <c r="J51" s="11"/>
    </row>
    <row r="52" spans="2:10" x14ac:dyDescent="0.2">
      <c r="B52" s="11"/>
      <c r="C52" s="11"/>
      <c r="D52" s="11"/>
      <c r="E52" s="11"/>
      <c r="F52" s="11"/>
      <c r="H52" s="11"/>
      <c r="J52" s="11"/>
    </row>
    <row r="53" spans="2:10" x14ac:dyDescent="0.2">
      <c r="B53" s="11"/>
      <c r="C53" s="12">
        <v>1</v>
      </c>
      <c r="D53" s="11" t="s">
        <v>39</v>
      </c>
      <c r="E53" s="11"/>
      <c r="F53" s="22">
        <f>F29</f>
        <v>171600</v>
      </c>
      <c r="G53" s="23"/>
      <c r="H53" s="22">
        <f>H29</f>
        <v>1500000.0000000002</v>
      </c>
      <c r="J53" s="22">
        <f>J29</f>
        <v>1500000.0000000002</v>
      </c>
    </row>
    <row r="54" spans="2:10" x14ac:dyDescent="0.2">
      <c r="B54" s="11"/>
      <c r="C54" s="12">
        <v>2</v>
      </c>
      <c r="D54" s="11" t="s">
        <v>60</v>
      </c>
      <c r="E54" s="11"/>
      <c r="F54" s="22">
        <f>F22-F23</f>
        <v>92400</v>
      </c>
      <c r="H54" s="22">
        <f>H22-H23</f>
        <v>1500000</v>
      </c>
      <c r="J54" s="22">
        <f>J22-J23</f>
        <v>1000000</v>
      </c>
    </row>
    <row r="55" spans="2:10" x14ac:dyDescent="0.2">
      <c r="B55" s="11"/>
      <c r="C55" s="12">
        <v>3</v>
      </c>
      <c r="D55" s="11" t="s">
        <v>61</v>
      </c>
      <c r="E55" s="13" t="s">
        <v>43</v>
      </c>
      <c r="F55" s="24">
        <f>F54/F26</f>
        <v>18439.584472389281</v>
      </c>
      <c r="H55" s="24">
        <f>H54/H26</f>
        <v>147864.18400876233</v>
      </c>
      <c r="J55" s="24">
        <f>J54/J26</f>
        <v>98576.122672508223</v>
      </c>
    </row>
    <row r="56" spans="2:10" x14ac:dyDescent="0.2">
      <c r="B56" s="11"/>
      <c r="C56" s="12">
        <v>4</v>
      </c>
      <c r="D56" s="11" t="s">
        <v>62</v>
      </c>
      <c r="E56" s="13" t="s">
        <v>47</v>
      </c>
      <c r="F56" s="25">
        <f>F53+F55</f>
        <v>190039.58447238928</v>
      </c>
      <c r="H56" s="25">
        <f>H53+H55</f>
        <v>1647864.1840087625</v>
      </c>
      <c r="J56" s="25">
        <f>J53+J55</f>
        <v>1598576.1226725085</v>
      </c>
    </row>
    <row r="57" spans="2:10" x14ac:dyDescent="0.2">
      <c r="B57" s="11"/>
      <c r="C57" s="12">
        <v>5</v>
      </c>
      <c r="D57" s="11" t="s">
        <v>63</v>
      </c>
      <c r="E57" s="13" t="s">
        <v>49</v>
      </c>
      <c r="F57" s="22">
        <f>(F22+F23)/2</f>
        <v>1273800</v>
      </c>
      <c r="H57" s="22">
        <f>(H22+H23)/2</f>
        <v>9250000</v>
      </c>
      <c r="J57" s="22">
        <f>(J22+J23)/2</f>
        <v>9500000</v>
      </c>
    </row>
    <row r="58" spans="2:10" x14ac:dyDescent="0.2">
      <c r="B58" s="11"/>
      <c r="C58" s="12">
        <v>6</v>
      </c>
      <c r="D58" s="15" t="s">
        <v>52</v>
      </c>
      <c r="E58" s="13" t="s">
        <v>64</v>
      </c>
      <c r="F58" s="26">
        <f>F56/F57</f>
        <v>0.14919106961248962</v>
      </c>
      <c r="H58" s="26">
        <f>H56/H57</f>
        <v>0.17814747935229863</v>
      </c>
      <c r="J58" s="26">
        <f>J56/J57</f>
        <v>0.16827117080763246</v>
      </c>
    </row>
    <row r="59" spans="2:10" x14ac:dyDescent="0.2">
      <c r="B59" s="11"/>
      <c r="C59" s="12"/>
      <c r="D59" s="11"/>
      <c r="E59" s="11"/>
      <c r="F59" s="11"/>
      <c r="H59" s="11"/>
      <c r="J59" s="11"/>
    </row>
    <row r="60" spans="2:10" x14ac:dyDescent="0.2">
      <c r="B60" s="11"/>
      <c r="C60" s="12"/>
      <c r="D60" s="11"/>
      <c r="E60" s="11"/>
      <c r="F60" s="11"/>
      <c r="H60" s="11"/>
      <c r="J60" s="11"/>
    </row>
    <row r="61" spans="2:10" x14ac:dyDescent="0.2">
      <c r="B61" s="11"/>
      <c r="C61" s="12"/>
      <c r="D61" s="11"/>
      <c r="E61" s="11"/>
      <c r="F61" s="11"/>
      <c r="H61" s="11"/>
      <c r="J61" s="11"/>
    </row>
    <row r="62" spans="2:10" x14ac:dyDescent="0.2">
      <c r="C62" s="27"/>
    </row>
    <row r="63" spans="2:10" x14ac:dyDescent="0.2">
      <c r="C63" s="27"/>
    </row>
    <row r="68" spans="2:5" s="29" customFormat="1" x14ac:dyDescent="0.2">
      <c r="B68" s="28" t="s">
        <v>65</v>
      </c>
    </row>
    <row r="70" spans="2:5" x14ac:dyDescent="0.2">
      <c r="D70" s="2" t="s">
        <v>66</v>
      </c>
    </row>
    <row r="71" spans="2:5" x14ac:dyDescent="0.2">
      <c r="D71" s="2" t="s">
        <v>67</v>
      </c>
    </row>
    <row r="72" spans="2:5" x14ac:dyDescent="0.2">
      <c r="E72" s="2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Rebecca</dc:creator>
  <cp:lastModifiedBy>Brown, Rebecca</cp:lastModifiedBy>
  <dcterms:created xsi:type="dcterms:W3CDTF">2015-01-29T22:42:13Z</dcterms:created>
  <dcterms:modified xsi:type="dcterms:W3CDTF">2015-01-29T22:44:16Z</dcterms:modified>
</cp:coreProperties>
</file>