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15195" windowHeight="9465" tabRatio="831"/>
  </bookViews>
  <sheets>
    <sheet name="Terms " sheetId="18" r:id="rId1"/>
    <sheet name="XIRR " sheetId="16" r:id="rId2"/>
    <sheet name="Carry Value Proof " sheetId="21" r:id="rId3"/>
    <sheet name="Iteration 1" sheetId="2" r:id="rId4"/>
    <sheet name="Iteration 2" sheetId="22" r:id="rId5"/>
    <sheet name="Iteration 3" sheetId="23" r:id="rId6"/>
    <sheet name="Get Rate for Iteration 4" sheetId="10" r:id="rId7"/>
    <sheet name="Iteration 4 " sheetId="24" r:id="rId8"/>
    <sheet name="Get Rate for Iteration 5" sheetId="26" r:id="rId9"/>
    <sheet name="Iteration 5" sheetId="27" r:id="rId10"/>
    <sheet name="Get Rate for Iteration 6" sheetId="28" r:id="rId11"/>
    <sheet name="Iteration 6" sheetId="29" r:id="rId12"/>
    <sheet name="Get Rate for Iteration 7 " sheetId="30" r:id="rId13"/>
    <sheet name="Iteration 7 " sheetId="31" r:id="rId14"/>
    <sheet name="Get Rate for Iteration 8 " sheetId="32" r:id="rId15"/>
    <sheet name="Iteration 8 " sheetId="33" r:id="rId16"/>
    <sheet name="Get Rate for Iteration 9 " sheetId="34" r:id="rId17"/>
    <sheet name="Iteration 9 " sheetId="35" r:id="rId18"/>
    <sheet name="Get Rate for Iteration 10 " sheetId="36" r:id="rId19"/>
    <sheet name="Iteration 10 " sheetId="37" r:id="rId20"/>
  </sheets>
  <calcPr calcId="145621"/>
</workbook>
</file>

<file path=xl/calcChain.xml><?xml version="1.0" encoding="utf-8"?>
<calcChain xmlns="http://schemas.openxmlformats.org/spreadsheetml/2006/main">
  <c r="B9" i="18" l="1"/>
  <c r="E3" i="18"/>
  <c r="B6" i="26"/>
  <c r="E30" i="2"/>
  <c r="B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G3" i="2" s="1"/>
  <c r="H2" i="2"/>
  <c r="E30" i="37"/>
  <c r="B30" i="37"/>
  <c r="E29" i="37"/>
  <c r="E28" i="37"/>
  <c r="E27" i="37"/>
  <c r="E26" i="37"/>
  <c r="E25" i="37"/>
  <c r="E24" i="37"/>
  <c r="E23" i="37"/>
  <c r="E22" i="37"/>
  <c r="E21" i="37"/>
  <c r="E20" i="37"/>
  <c r="E19" i="37"/>
  <c r="E18" i="37"/>
  <c r="E17" i="37"/>
  <c r="E16" i="37"/>
  <c r="E15" i="37"/>
  <c r="E14" i="37"/>
  <c r="E13" i="37"/>
  <c r="E12" i="37"/>
  <c r="E11" i="37"/>
  <c r="E10" i="37"/>
  <c r="E9" i="37"/>
  <c r="E8" i="37"/>
  <c r="E7" i="37"/>
  <c r="E6" i="37"/>
  <c r="E5" i="37"/>
  <c r="E4" i="37"/>
  <c r="E3" i="37"/>
  <c r="H2" i="37"/>
  <c r="E30" i="35"/>
  <c r="B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H2" i="35"/>
  <c r="E30" i="33"/>
  <c r="B30" i="33"/>
  <c r="E29" i="33"/>
  <c r="E28" i="33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E7" i="33"/>
  <c r="E6" i="33"/>
  <c r="E5" i="33"/>
  <c r="E4" i="33"/>
  <c r="E3" i="33"/>
  <c r="H2" i="33"/>
  <c r="E30" i="31"/>
  <c r="B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E4" i="31"/>
  <c r="E3" i="31"/>
  <c r="H2" i="31"/>
  <c r="E30" i="29"/>
  <c r="B30" i="29"/>
  <c r="E29" i="29"/>
  <c r="E28" i="29"/>
  <c r="E27" i="29"/>
  <c r="E26" i="29"/>
  <c r="E25" i="29"/>
  <c r="E24" i="29"/>
  <c r="E23" i="29"/>
  <c r="E22" i="29"/>
  <c r="E21" i="29"/>
  <c r="E20" i="29"/>
  <c r="E19" i="29"/>
  <c r="E18" i="29"/>
  <c r="E17" i="29"/>
  <c r="E16" i="29"/>
  <c r="E15" i="29"/>
  <c r="E14" i="29"/>
  <c r="E13" i="29"/>
  <c r="E12" i="29"/>
  <c r="E11" i="29"/>
  <c r="E10" i="29"/>
  <c r="E9" i="29"/>
  <c r="E8" i="29"/>
  <c r="E7" i="29"/>
  <c r="E6" i="29"/>
  <c r="E5" i="29"/>
  <c r="E4" i="29"/>
  <c r="E3" i="29"/>
  <c r="H2" i="29"/>
  <c r="E30" i="27"/>
  <c r="B30" i="27"/>
  <c r="E29" i="27"/>
  <c r="E28" i="27"/>
  <c r="E27" i="27"/>
  <c r="E26" i="27"/>
  <c r="E25" i="27"/>
  <c r="E24" i="27"/>
  <c r="E23" i="27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E6" i="27"/>
  <c r="E5" i="27"/>
  <c r="E4" i="27"/>
  <c r="E3" i="27"/>
  <c r="H2" i="27"/>
  <c r="E30" i="24"/>
  <c r="B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E8" i="24"/>
  <c r="E7" i="24"/>
  <c r="E6" i="24"/>
  <c r="E5" i="24"/>
  <c r="E4" i="24"/>
  <c r="E3" i="24"/>
  <c r="H2" i="24"/>
  <c r="E30" i="23"/>
  <c r="B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E8" i="23"/>
  <c r="E7" i="23"/>
  <c r="E6" i="23"/>
  <c r="E5" i="23"/>
  <c r="E4" i="23"/>
  <c r="E3" i="23"/>
  <c r="G3" i="23" s="1"/>
  <c r="H3" i="23" s="1"/>
  <c r="H2" i="23"/>
  <c r="H2" i="22"/>
  <c r="E30" i="22"/>
  <c r="B30" i="22"/>
  <c r="E29" i="22"/>
  <c r="E28" i="22"/>
  <c r="E27" i="2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E12" i="22"/>
  <c r="E11" i="22"/>
  <c r="E10" i="22"/>
  <c r="E9" i="22"/>
  <c r="E8" i="22"/>
  <c r="E7" i="22"/>
  <c r="E6" i="22"/>
  <c r="E5" i="22"/>
  <c r="E4" i="22"/>
  <c r="E3" i="22"/>
  <c r="G3" i="22" s="1"/>
  <c r="H3" i="22" s="1"/>
  <c r="N3" i="21"/>
  <c r="E3" i="21"/>
  <c r="H3" i="2"/>
  <c r="F4" i="21"/>
  <c r="G4" i="2"/>
  <c r="H4" i="2" s="1"/>
  <c r="D4" i="21"/>
  <c r="B8" i="18"/>
  <c r="B4" i="18"/>
  <c r="C2" i="16"/>
  <c r="G4" i="23" l="1"/>
  <c r="H4" i="23" s="1"/>
  <c r="G5" i="2"/>
  <c r="H5" i="2" s="1"/>
  <c r="H4" i="22"/>
  <c r="G4" i="22"/>
  <c r="F5" i="21"/>
  <c r="O4" i="21"/>
  <c r="G6" i="2" l="1"/>
  <c r="H6" i="2" s="1"/>
  <c r="G5" i="23"/>
  <c r="H5" i="23" s="1"/>
  <c r="M4" i="21"/>
  <c r="G5" i="22"/>
  <c r="H5" i="22" s="1"/>
  <c r="D5" i="21"/>
  <c r="G6" i="22" l="1"/>
  <c r="H6" i="22" s="1"/>
  <c r="G6" i="23"/>
  <c r="H6" i="23" s="1"/>
  <c r="G7" i="2"/>
  <c r="H7" i="2" s="1"/>
  <c r="F6" i="21"/>
  <c r="D6" i="21"/>
  <c r="O5" i="21"/>
  <c r="G8" i="2" l="1"/>
  <c r="H8" i="2" s="1"/>
  <c r="G7" i="23"/>
  <c r="H7" i="23" s="1"/>
  <c r="G7" i="22"/>
  <c r="H7" i="22" s="1"/>
  <c r="D7" i="21"/>
  <c r="F7" i="21"/>
  <c r="M5" i="21"/>
  <c r="G8" i="22" l="1"/>
  <c r="H8" i="22"/>
  <c r="G8" i="23"/>
  <c r="H8" i="23" s="1"/>
  <c r="G9" i="2"/>
  <c r="H9" i="2"/>
  <c r="F8" i="21"/>
  <c r="O6" i="21"/>
  <c r="G9" i="23" l="1"/>
  <c r="H9" i="23"/>
  <c r="D8" i="21"/>
  <c r="G9" i="22"/>
  <c r="H9" i="22"/>
  <c r="G10" i="2"/>
  <c r="H10" i="2" s="1"/>
  <c r="M6" i="21"/>
  <c r="G11" i="2" l="1"/>
  <c r="H11" i="2" s="1"/>
  <c r="F9" i="21"/>
  <c r="D9" i="21"/>
  <c r="G10" i="23"/>
  <c r="H10" i="23" s="1"/>
  <c r="O7" i="21"/>
  <c r="M7" i="21" s="1"/>
  <c r="G10" i="22"/>
  <c r="H10" i="22" s="1"/>
  <c r="G11" i="23" l="1"/>
  <c r="H11" i="23" s="1"/>
  <c r="G11" i="22"/>
  <c r="H11" i="22" s="1"/>
  <c r="O8" i="21"/>
  <c r="M8" i="21" s="1"/>
  <c r="G12" i="2"/>
  <c r="H12" i="2"/>
  <c r="F10" i="21"/>
  <c r="D10" i="21" s="1"/>
  <c r="F11" i="21" l="1"/>
  <c r="D11" i="21" s="1"/>
  <c r="O9" i="21"/>
  <c r="M9" i="21" s="1"/>
  <c r="G12" i="22"/>
  <c r="H12" i="22" s="1"/>
  <c r="G12" i="23"/>
  <c r="H12" i="23" s="1"/>
  <c r="G13" i="2"/>
  <c r="H13" i="2" s="1"/>
  <c r="G13" i="23" l="1"/>
  <c r="H13" i="23"/>
  <c r="G13" i="22"/>
  <c r="H13" i="22" s="1"/>
  <c r="O10" i="21"/>
  <c r="M10" i="21"/>
  <c r="G14" i="2"/>
  <c r="H14" i="2" s="1"/>
  <c r="F12" i="21"/>
  <c r="D12" i="21" s="1"/>
  <c r="F13" i="21" l="1"/>
  <c r="D13" i="21"/>
  <c r="G14" i="22"/>
  <c r="H14" i="22"/>
  <c r="G15" i="2"/>
  <c r="H15" i="2" s="1"/>
  <c r="G14" i="23"/>
  <c r="H14" i="23" s="1"/>
  <c r="O11" i="21"/>
  <c r="M11" i="21" s="1"/>
  <c r="O12" i="21" l="1"/>
  <c r="M12" i="21" s="1"/>
  <c r="G15" i="23"/>
  <c r="H15" i="23" s="1"/>
  <c r="G16" i="2"/>
  <c r="H16" i="2"/>
  <c r="G15" i="22"/>
  <c r="H15" i="22" s="1"/>
  <c r="F14" i="21"/>
  <c r="D14" i="21" s="1"/>
  <c r="F15" i="21" l="1"/>
  <c r="D15" i="21"/>
  <c r="G16" i="22"/>
  <c r="H16" i="22" s="1"/>
  <c r="G16" i="23"/>
  <c r="H16" i="23" s="1"/>
  <c r="O13" i="21"/>
  <c r="M13" i="21" s="1"/>
  <c r="G17" i="2"/>
  <c r="H17" i="2" s="1"/>
  <c r="G17" i="23" l="1"/>
  <c r="H17" i="23"/>
  <c r="G17" i="22"/>
  <c r="H17" i="22" s="1"/>
  <c r="G18" i="2"/>
  <c r="H18" i="2"/>
  <c r="O14" i="21"/>
  <c r="M14" i="21" s="1"/>
  <c r="F16" i="21"/>
  <c r="D16" i="21" s="1"/>
  <c r="G18" i="22" l="1"/>
  <c r="H18" i="22"/>
  <c r="F17" i="21"/>
  <c r="D17" i="21"/>
  <c r="O15" i="21"/>
  <c r="M15" i="21" s="1"/>
  <c r="G18" i="23"/>
  <c r="H18" i="23" s="1"/>
  <c r="G19" i="2"/>
  <c r="H19" i="2" s="1"/>
  <c r="G19" i="23" l="1"/>
  <c r="H19" i="23" s="1"/>
  <c r="G20" i="2"/>
  <c r="H20" i="2" s="1"/>
  <c r="O16" i="21"/>
  <c r="M16" i="21" s="1"/>
  <c r="F18" i="21"/>
  <c r="D18" i="21" s="1"/>
  <c r="G19" i="22"/>
  <c r="H19" i="22" s="1"/>
  <c r="G21" i="2" l="1"/>
  <c r="H21" i="2"/>
  <c r="G20" i="22"/>
  <c r="H20" i="22" s="1"/>
  <c r="F19" i="21"/>
  <c r="D19" i="21" s="1"/>
  <c r="O17" i="21"/>
  <c r="M17" i="21" s="1"/>
  <c r="G20" i="23"/>
  <c r="H20" i="23" s="1"/>
  <c r="G21" i="23" l="1"/>
  <c r="H21" i="23"/>
  <c r="F20" i="21"/>
  <c r="D20" i="21" s="1"/>
  <c r="G21" i="22"/>
  <c r="H21" i="22" s="1"/>
  <c r="O18" i="21"/>
  <c r="M18" i="21"/>
  <c r="G22" i="2"/>
  <c r="H22" i="2"/>
  <c r="F21" i="21" l="1"/>
  <c r="D21" i="21"/>
  <c r="G22" i="22"/>
  <c r="H22" i="22"/>
  <c r="O19" i="21"/>
  <c r="M19" i="21" s="1"/>
  <c r="G22" i="23"/>
  <c r="H22" i="23"/>
  <c r="G23" i="2"/>
  <c r="H23" i="2"/>
  <c r="O20" i="21" l="1"/>
  <c r="M20" i="21" s="1"/>
  <c r="G23" i="23"/>
  <c r="H23" i="23"/>
  <c r="G23" i="22"/>
  <c r="H23" i="22" s="1"/>
  <c r="G24" i="2"/>
  <c r="H24" i="2"/>
  <c r="F22" i="21"/>
  <c r="D22" i="21"/>
  <c r="G24" i="22" l="1"/>
  <c r="H24" i="22" s="1"/>
  <c r="O21" i="21"/>
  <c r="M21" i="21" s="1"/>
  <c r="G25" i="2"/>
  <c r="H25" i="2" s="1"/>
  <c r="G24" i="23"/>
  <c r="H24" i="23" s="1"/>
  <c r="F23" i="21"/>
  <c r="D23" i="21"/>
  <c r="G25" i="23" l="1"/>
  <c r="H25" i="23"/>
  <c r="G26" i="2"/>
  <c r="H26" i="2"/>
  <c r="O22" i="21"/>
  <c r="M22" i="21" s="1"/>
  <c r="G25" i="22"/>
  <c r="H25" i="22"/>
  <c r="F24" i="21"/>
  <c r="D24" i="21"/>
  <c r="O23" i="21" l="1"/>
  <c r="M23" i="21" s="1"/>
  <c r="F25" i="21"/>
  <c r="D25" i="21"/>
  <c r="G26" i="22"/>
  <c r="H26" i="22"/>
  <c r="G27" i="2"/>
  <c r="H27" i="2"/>
  <c r="G26" i="23"/>
  <c r="H26" i="23" s="1"/>
  <c r="G27" i="23" l="1"/>
  <c r="H27" i="23"/>
  <c r="O24" i="21"/>
  <c r="M24" i="21" s="1"/>
  <c r="G28" i="2"/>
  <c r="H28" i="2"/>
  <c r="F26" i="21"/>
  <c r="D26" i="21"/>
  <c r="G27" i="22"/>
  <c r="H27" i="22" s="1"/>
  <c r="O25" i="21" l="1"/>
  <c r="M25" i="21"/>
  <c r="G28" i="22"/>
  <c r="H28" i="22"/>
  <c r="F27" i="21"/>
  <c r="D27" i="21" s="1"/>
  <c r="G28" i="23"/>
  <c r="H28" i="23" s="1"/>
  <c r="G29" i="2"/>
  <c r="H29" i="2"/>
  <c r="G29" i="23" l="1"/>
  <c r="H29" i="23" s="1"/>
  <c r="F28" i="21"/>
  <c r="D28" i="21" s="1"/>
  <c r="G30" i="2"/>
  <c r="H30" i="2"/>
  <c r="G34" i="2" s="1"/>
  <c r="G29" i="22"/>
  <c r="H29" i="22"/>
  <c r="O26" i="21"/>
  <c r="M26" i="21" s="1"/>
  <c r="F29" i="21" l="1"/>
  <c r="D29" i="21"/>
  <c r="O27" i="21"/>
  <c r="M27" i="21"/>
  <c r="G30" i="23"/>
  <c r="H30" i="23"/>
  <c r="G34" i="23" s="1"/>
  <c r="G30" i="22"/>
  <c r="H30" i="22" s="1"/>
  <c r="G34" i="22" s="1"/>
  <c r="B8" i="10" s="1"/>
  <c r="O28" i="21" l="1"/>
  <c r="M28" i="21" s="1"/>
  <c r="B7" i="10"/>
  <c r="B4" i="10" s="1"/>
  <c r="B8" i="26"/>
  <c r="F30" i="21"/>
  <c r="D30" i="21"/>
  <c r="O29" i="21" l="1"/>
  <c r="M29" i="21" s="1"/>
  <c r="F2" i="24"/>
  <c r="F5" i="24"/>
  <c r="F9" i="24"/>
  <c r="F13" i="24"/>
  <c r="F17" i="24"/>
  <c r="F21" i="24"/>
  <c r="F25" i="24"/>
  <c r="F29" i="24"/>
  <c r="F4" i="24"/>
  <c r="F8" i="24"/>
  <c r="F12" i="24"/>
  <c r="F16" i="24"/>
  <c r="F20" i="24"/>
  <c r="F24" i="24"/>
  <c r="F28" i="24"/>
  <c r="F3" i="24"/>
  <c r="G3" i="24" s="1"/>
  <c r="H3" i="24" s="1"/>
  <c r="F7" i="24"/>
  <c r="F11" i="24"/>
  <c r="F15" i="24"/>
  <c r="F19" i="24"/>
  <c r="F23" i="24"/>
  <c r="F27" i="24"/>
  <c r="F6" i="24"/>
  <c r="F10" i="24"/>
  <c r="F14" i="24"/>
  <c r="F18" i="24"/>
  <c r="F22" i="24"/>
  <c r="F26" i="24"/>
  <c r="F30" i="24"/>
  <c r="F31" i="21"/>
  <c r="F32" i="21" s="1"/>
  <c r="O30" i="21" l="1"/>
  <c r="M30" i="21" s="1"/>
  <c r="B5" i="26"/>
  <c r="B6" i="28"/>
  <c r="H4" i="24"/>
  <c r="G4" i="24"/>
  <c r="D31" i="21"/>
  <c r="O31" i="21" l="1"/>
  <c r="O32" i="21" s="1"/>
  <c r="M31" i="21"/>
  <c r="G5" i="24"/>
  <c r="H5" i="24" s="1"/>
  <c r="G6" i="24" l="1"/>
  <c r="H6" i="24" s="1"/>
  <c r="G7" i="24" l="1"/>
  <c r="H7" i="24" s="1"/>
  <c r="G8" i="24" l="1"/>
  <c r="H8" i="24" s="1"/>
  <c r="G9" i="24" l="1"/>
  <c r="H9" i="24" s="1"/>
  <c r="G10" i="24" l="1"/>
  <c r="H10" i="24" s="1"/>
  <c r="G11" i="24" l="1"/>
  <c r="H11" i="24" s="1"/>
  <c r="G12" i="24" l="1"/>
  <c r="H12" i="24" s="1"/>
  <c r="G13" i="24" l="1"/>
  <c r="H13" i="24" s="1"/>
  <c r="G14" i="24" l="1"/>
  <c r="H14" i="24" s="1"/>
  <c r="G15" i="24" l="1"/>
  <c r="H15" i="24" s="1"/>
  <c r="G16" i="24" l="1"/>
  <c r="H16" i="24" s="1"/>
  <c r="G17" i="24" l="1"/>
  <c r="H17" i="24" s="1"/>
  <c r="G18" i="24" l="1"/>
  <c r="H18" i="24" s="1"/>
  <c r="G19" i="24" l="1"/>
  <c r="H19" i="24" s="1"/>
  <c r="G20" i="24" l="1"/>
  <c r="H20" i="24" s="1"/>
  <c r="G21" i="24" l="1"/>
  <c r="H21" i="24" s="1"/>
  <c r="G22" i="24" l="1"/>
  <c r="H22" i="24" s="1"/>
  <c r="G23" i="24" l="1"/>
  <c r="H23" i="24" s="1"/>
  <c r="G24" i="24" l="1"/>
  <c r="H24" i="24" s="1"/>
  <c r="G25" i="24" l="1"/>
  <c r="H25" i="24" s="1"/>
  <c r="G26" i="24" l="1"/>
  <c r="H26" i="24" s="1"/>
  <c r="G27" i="24" l="1"/>
  <c r="H27" i="24" s="1"/>
  <c r="G28" i="24" l="1"/>
  <c r="H28" i="24" s="1"/>
  <c r="G29" i="24" l="1"/>
  <c r="H29" i="24" s="1"/>
  <c r="G30" i="24" l="1"/>
  <c r="H30" i="24" s="1"/>
  <c r="G34" i="24" s="1"/>
  <c r="B8" i="28" l="1"/>
  <c r="B7" i="26"/>
  <c r="B4" i="26" s="1"/>
  <c r="F4" i="27" l="1"/>
  <c r="F8" i="27"/>
  <c r="F12" i="27"/>
  <c r="F16" i="27"/>
  <c r="F20" i="27"/>
  <c r="F24" i="27"/>
  <c r="F28" i="27"/>
  <c r="F3" i="27"/>
  <c r="G3" i="27" s="1"/>
  <c r="H3" i="27" s="1"/>
  <c r="F7" i="27"/>
  <c r="F11" i="27"/>
  <c r="F15" i="27"/>
  <c r="F19" i="27"/>
  <c r="F23" i="27"/>
  <c r="F27" i="27"/>
  <c r="F6" i="27"/>
  <c r="F10" i="27"/>
  <c r="F14" i="27"/>
  <c r="F18" i="27"/>
  <c r="F22" i="27"/>
  <c r="F26" i="27"/>
  <c r="F30" i="27"/>
  <c r="F2" i="27"/>
  <c r="F5" i="27"/>
  <c r="F9" i="27"/>
  <c r="F13" i="27"/>
  <c r="F17" i="27"/>
  <c r="F21" i="27"/>
  <c r="F25" i="27"/>
  <c r="F29" i="27"/>
  <c r="G4" i="27" l="1"/>
  <c r="H4" i="27" s="1"/>
  <c r="B5" i="28"/>
  <c r="B6" i="30"/>
  <c r="G5" i="27" l="1"/>
  <c r="H5" i="27" s="1"/>
  <c r="G6" i="27" l="1"/>
  <c r="H6" i="27" s="1"/>
  <c r="G7" i="27" l="1"/>
  <c r="H7" i="27" s="1"/>
  <c r="G8" i="27" l="1"/>
  <c r="H8" i="27" s="1"/>
  <c r="G9" i="27" l="1"/>
  <c r="H9" i="27" s="1"/>
  <c r="G10" i="27" l="1"/>
  <c r="H10" i="27" s="1"/>
  <c r="G11" i="27" l="1"/>
  <c r="H11" i="27" s="1"/>
  <c r="G12" i="27" l="1"/>
  <c r="H12" i="27" s="1"/>
  <c r="G13" i="27" l="1"/>
  <c r="H13" i="27" s="1"/>
  <c r="G14" i="27" l="1"/>
  <c r="H14" i="27" s="1"/>
  <c r="G15" i="27" l="1"/>
  <c r="H15" i="27" s="1"/>
  <c r="G16" i="27" l="1"/>
  <c r="H16" i="27" s="1"/>
  <c r="G17" i="27" l="1"/>
  <c r="H17" i="27" s="1"/>
  <c r="G18" i="27" l="1"/>
  <c r="H18" i="27" s="1"/>
  <c r="G19" i="27" l="1"/>
  <c r="H19" i="27" s="1"/>
  <c r="G20" i="27" l="1"/>
  <c r="H20" i="27" s="1"/>
  <c r="G21" i="27" l="1"/>
  <c r="H21" i="27" s="1"/>
  <c r="G22" i="27" l="1"/>
  <c r="H22" i="27" s="1"/>
  <c r="G23" i="27" l="1"/>
  <c r="H23" i="27" s="1"/>
  <c r="G24" i="27" l="1"/>
  <c r="H24" i="27" s="1"/>
  <c r="G25" i="27" l="1"/>
  <c r="H25" i="27" s="1"/>
  <c r="G26" i="27" l="1"/>
  <c r="H26" i="27" s="1"/>
  <c r="G27" i="27" l="1"/>
  <c r="H27" i="27" s="1"/>
  <c r="G28" i="27" l="1"/>
  <c r="H28" i="27" s="1"/>
  <c r="G29" i="27" l="1"/>
  <c r="H29" i="27" s="1"/>
  <c r="G30" i="27" l="1"/>
  <c r="H30" i="27" s="1"/>
  <c r="G34" i="27" s="1"/>
  <c r="B7" i="28" l="1"/>
  <c r="B4" i="28" s="1"/>
  <c r="B8" i="30"/>
  <c r="F3" i="29" l="1"/>
  <c r="G3" i="29" s="1"/>
  <c r="H3" i="29" s="1"/>
  <c r="F7" i="29"/>
  <c r="F11" i="29"/>
  <c r="F15" i="29"/>
  <c r="F19" i="29"/>
  <c r="F23" i="29"/>
  <c r="F27" i="29"/>
  <c r="F6" i="29"/>
  <c r="F10" i="29"/>
  <c r="F14" i="29"/>
  <c r="F18" i="29"/>
  <c r="F22" i="29"/>
  <c r="F26" i="29"/>
  <c r="F30" i="29"/>
  <c r="F2" i="29"/>
  <c r="F5" i="29"/>
  <c r="F9" i="29"/>
  <c r="F13" i="29"/>
  <c r="F17" i="29"/>
  <c r="F21" i="29"/>
  <c r="F25" i="29"/>
  <c r="F29" i="29"/>
  <c r="F4" i="29"/>
  <c r="F8" i="29"/>
  <c r="F12" i="29"/>
  <c r="F16" i="29"/>
  <c r="F20" i="29"/>
  <c r="F24" i="29"/>
  <c r="F28" i="29"/>
  <c r="B5" i="30" l="1"/>
  <c r="B6" i="32"/>
  <c r="G4" i="29"/>
  <c r="H4" i="29" s="1"/>
  <c r="G5" i="29" l="1"/>
  <c r="H5" i="29" s="1"/>
  <c r="G6" i="29" l="1"/>
  <c r="H6" i="29" s="1"/>
  <c r="G7" i="29" l="1"/>
  <c r="H7" i="29" s="1"/>
  <c r="G8" i="29" l="1"/>
  <c r="H8" i="29" s="1"/>
  <c r="G9" i="29" l="1"/>
  <c r="H9" i="29" s="1"/>
  <c r="G10" i="29" l="1"/>
  <c r="H10" i="29" s="1"/>
  <c r="G11" i="29" l="1"/>
  <c r="H11" i="29" s="1"/>
  <c r="G12" i="29" l="1"/>
  <c r="H12" i="29" s="1"/>
  <c r="G13" i="29" l="1"/>
  <c r="H13" i="29" s="1"/>
  <c r="G14" i="29" l="1"/>
  <c r="H14" i="29" s="1"/>
  <c r="G15" i="29" l="1"/>
  <c r="H15" i="29" s="1"/>
  <c r="G16" i="29" l="1"/>
  <c r="H16" i="29" s="1"/>
  <c r="G17" i="29" l="1"/>
  <c r="H17" i="29" s="1"/>
  <c r="G18" i="29" l="1"/>
  <c r="H18" i="29" s="1"/>
  <c r="G19" i="29" l="1"/>
  <c r="H19" i="29" s="1"/>
  <c r="G20" i="29" l="1"/>
  <c r="H20" i="29" s="1"/>
  <c r="G21" i="29" l="1"/>
  <c r="H21" i="29" s="1"/>
  <c r="G22" i="29" l="1"/>
  <c r="H22" i="29" s="1"/>
  <c r="G23" i="29" l="1"/>
  <c r="H23" i="29" s="1"/>
  <c r="G24" i="29" l="1"/>
  <c r="H24" i="29" s="1"/>
  <c r="G25" i="29" l="1"/>
  <c r="H25" i="29" s="1"/>
  <c r="G26" i="29" l="1"/>
  <c r="H26" i="29" s="1"/>
  <c r="G27" i="29" l="1"/>
  <c r="H27" i="29" s="1"/>
  <c r="G28" i="29" l="1"/>
  <c r="H28" i="29" s="1"/>
  <c r="G29" i="29" l="1"/>
  <c r="H29" i="29" s="1"/>
  <c r="G30" i="29" l="1"/>
  <c r="H30" i="29" s="1"/>
  <c r="G34" i="29" s="1"/>
  <c r="B7" i="30" l="1"/>
  <c r="B4" i="30" s="1"/>
  <c r="B8" i="32"/>
  <c r="F6" i="31" l="1"/>
  <c r="F10" i="31"/>
  <c r="F14" i="31"/>
  <c r="F18" i="31"/>
  <c r="F22" i="31"/>
  <c r="F2" i="31"/>
  <c r="F5" i="31"/>
  <c r="F9" i="31"/>
  <c r="F13" i="31"/>
  <c r="F17" i="31"/>
  <c r="F21" i="31"/>
  <c r="F4" i="31"/>
  <c r="F8" i="31"/>
  <c r="F12" i="31"/>
  <c r="F3" i="31"/>
  <c r="G3" i="31" s="1"/>
  <c r="H3" i="31" s="1"/>
  <c r="F7" i="31"/>
  <c r="F11" i="31"/>
  <c r="F15" i="31"/>
  <c r="F20" i="31"/>
  <c r="F26" i="31"/>
  <c r="F30" i="31"/>
  <c r="F23" i="31"/>
  <c r="F25" i="31"/>
  <c r="F29" i="31"/>
  <c r="F19" i="31"/>
  <c r="F24" i="31"/>
  <c r="F27" i="31"/>
  <c r="F16" i="31"/>
  <c r="F28" i="31"/>
  <c r="G4" i="31" l="1"/>
  <c r="H4" i="31" s="1"/>
  <c r="B5" i="32"/>
  <c r="B6" i="34"/>
  <c r="G5" i="31" l="1"/>
  <c r="H5" i="31" s="1"/>
  <c r="G6" i="31" l="1"/>
  <c r="H6" i="31" s="1"/>
  <c r="G7" i="31" l="1"/>
  <c r="H7" i="31" s="1"/>
  <c r="G8" i="31" l="1"/>
  <c r="H8" i="31" s="1"/>
  <c r="G9" i="31" l="1"/>
  <c r="H9" i="31" s="1"/>
  <c r="G10" i="31" l="1"/>
  <c r="H10" i="31" s="1"/>
  <c r="G11" i="31" l="1"/>
  <c r="H11" i="31" s="1"/>
  <c r="G12" i="31" l="1"/>
  <c r="H12" i="31" s="1"/>
  <c r="G13" i="31" l="1"/>
  <c r="H13" i="31" s="1"/>
  <c r="G14" i="31" l="1"/>
  <c r="H14" i="31" s="1"/>
  <c r="G15" i="31" l="1"/>
  <c r="H15" i="31" s="1"/>
  <c r="G16" i="31" l="1"/>
  <c r="H16" i="31" s="1"/>
  <c r="G17" i="31" l="1"/>
  <c r="H17" i="31" s="1"/>
  <c r="G18" i="31" l="1"/>
  <c r="H18" i="31" s="1"/>
  <c r="G19" i="31" l="1"/>
  <c r="H19" i="31" s="1"/>
  <c r="G20" i="31" l="1"/>
  <c r="H20" i="31" s="1"/>
  <c r="G21" i="31" l="1"/>
  <c r="H21" i="31" s="1"/>
  <c r="G22" i="31" l="1"/>
  <c r="H22" i="31" s="1"/>
  <c r="G23" i="31" l="1"/>
  <c r="H23" i="31" s="1"/>
  <c r="G24" i="31" l="1"/>
  <c r="H24" i="31" s="1"/>
  <c r="G25" i="31" l="1"/>
  <c r="H25" i="31" s="1"/>
  <c r="G26" i="31" l="1"/>
  <c r="H26" i="31" s="1"/>
  <c r="G27" i="31" l="1"/>
  <c r="H27" i="31" s="1"/>
  <c r="G28" i="31" l="1"/>
  <c r="H28" i="31" s="1"/>
  <c r="G29" i="31" l="1"/>
  <c r="H29" i="31" s="1"/>
  <c r="G30" i="31" l="1"/>
  <c r="H30" i="31" s="1"/>
  <c r="G34" i="31" s="1"/>
  <c r="B7" i="32" l="1"/>
  <c r="B4" i="32" s="1"/>
  <c r="B8" i="34"/>
  <c r="F2" i="33" l="1"/>
  <c r="F5" i="33"/>
  <c r="F9" i="33"/>
  <c r="F13" i="33"/>
  <c r="F17" i="33"/>
  <c r="F21" i="33"/>
  <c r="F25" i="33"/>
  <c r="F29" i="33"/>
  <c r="F4" i="33"/>
  <c r="F8" i="33"/>
  <c r="F12" i="33"/>
  <c r="F16" i="33"/>
  <c r="F20" i="33"/>
  <c r="F24" i="33"/>
  <c r="F28" i="33"/>
  <c r="F7" i="33"/>
  <c r="F15" i="33"/>
  <c r="F23" i="33"/>
  <c r="F10" i="33"/>
  <c r="F18" i="33"/>
  <c r="F26" i="33"/>
  <c r="F3" i="33"/>
  <c r="G3" i="33" s="1"/>
  <c r="H3" i="33" s="1"/>
  <c r="F11" i="33"/>
  <c r="F19" i="33"/>
  <c r="F27" i="33"/>
  <c r="F6" i="33"/>
  <c r="F30" i="33"/>
  <c r="F22" i="33"/>
  <c r="F14" i="33"/>
  <c r="G4" i="33" l="1"/>
  <c r="H4" i="33"/>
  <c r="B5" i="34"/>
  <c r="B6" i="36"/>
  <c r="G5" i="33" l="1"/>
  <c r="H5" i="33" s="1"/>
  <c r="G6" i="33" l="1"/>
  <c r="H6" i="33" s="1"/>
  <c r="G7" i="33" l="1"/>
  <c r="H7" i="33" s="1"/>
  <c r="G8" i="33" l="1"/>
  <c r="H8" i="33"/>
  <c r="G9" i="33" l="1"/>
  <c r="H9" i="33" s="1"/>
  <c r="G10" i="33" l="1"/>
  <c r="H10" i="33" s="1"/>
  <c r="G11" i="33" l="1"/>
  <c r="H11" i="33" s="1"/>
  <c r="G12" i="33" l="1"/>
  <c r="H12" i="33" s="1"/>
  <c r="G13" i="33" l="1"/>
  <c r="H13" i="33" s="1"/>
  <c r="G14" i="33" l="1"/>
  <c r="H14" i="33" s="1"/>
  <c r="G15" i="33" l="1"/>
  <c r="H15" i="33" s="1"/>
  <c r="G16" i="33" l="1"/>
  <c r="H16" i="33" s="1"/>
  <c r="G17" i="33" l="1"/>
  <c r="H17" i="33" s="1"/>
  <c r="G18" i="33" l="1"/>
  <c r="H18" i="33" s="1"/>
  <c r="G19" i="33" l="1"/>
  <c r="H19" i="33" s="1"/>
  <c r="G20" i="33" l="1"/>
  <c r="H20" i="33"/>
  <c r="G21" i="33" l="1"/>
  <c r="H21" i="33" s="1"/>
  <c r="G22" i="33" l="1"/>
  <c r="H22" i="33" s="1"/>
  <c r="G23" i="33" l="1"/>
  <c r="H23" i="33" s="1"/>
  <c r="G24" i="33" l="1"/>
  <c r="H24" i="33"/>
  <c r="G25" i="33" l="1"/>
  <c r="H25" i="33" s="1"/>
  <c r="G26" i="33" l="1"/>
  <c r="H26" i="33" s="1"/>
  <c r="G27" i="33" l="1"/>
  <c r="H27" i="33" s="1"/>
  <c r="G28" i="33" l="1"/>
  <c r="H28" i="33"/>
  <c r="G29" i="33" l="1"/>
  <c r="H29" i="33" s="1"/>
  <c r="G30" i="33" l="1"/>
  <c r="H30" i="33" s="1"/>
  <c r="G34" i="33" s="1"/>
  <c r="B8" i="36" l="1"/>
  <c r="B7" i="34"/>
  <c r="B4" i="34" s="1"/>
  <c r="F4" i="35" l="1"/>
  <c r="F8" i="35"/>
  <c r="F12" i="35"/>
  <c r="F16" i="35"/>
  <c r="F20" i="35"/>
  <c r="F24" i="35"/>
  <c r="F28" i="35"/>
  <c r="F3" i="35"/>
  <c r="G3" i="35" s="1"/>
  <c r="H3" i="35" s="1"/>
  <c r="F7" i="35"/>
  <c r="F11" i="35"/>
  <c r="F15" i="35"/>
  <c r="F19" i="35"/>
  <c r="F23" i="35"/>
  <c r="F27" i="35"/>
  <c r="F6" i="35"/>
  <c r="F14" i="35"/>
  <c r="F22" i="35"/>
  <c r="F30" i="35"/>
  <c r="F9" i="35"/>
  <c r="F17" i="35"/>
  <c r="F25" i="35"/>
  <c r="F10" i="35"/>
  <c r="F18" i="35"/>
  <c r="F26" i="35"/>
  <c r="F29" i="35"/>
  <c r="F21" i="35"/>
  <c r="F2" i="35"/>
  <c r="B5" i="36" s="1"/>
  <c r="F13" i="35"/>
  <c r="F5" i="35"/>
  <c r="G4" i="35" l="1"/>
  <c r="H4" i="35" s="1"/>
  <c r="G5" i="35" l="1"/>
  <c r="H5" i="35" s="1"/>
  <c r="G6" i="35" l="1"/>
  <c r="H6" i="35" s="1"/>
  <c r="G7" i="35" l="1"/>
  <c r="H7" i="35"/>
  <c r="G8" i="35" l="1"/>
  <c r="H8" i="35" s="1"/>
  <c r="G9" i="35" l="1"/>
  <c r="H9" i="35" s="1"/>
  <c r="G10" i="35" l="1"/>
  <c r="H10" i="35" s="1"/>
  <c r="G11" i="35" l="1"/>
  <c r="H11" i="35" s="1"/>
  <c r="G12" i="35" l="1"/>
  <c r="H12" i="35" s="1"/>
  <c r="G13" i="35" l="1"/>
  <c r="H13" i="35" s="1"/>
  <c r="G14" i="35" l="1"/>
  <c r="H14" i="35" s="1"/>
  <c r="G15" i="35" l="1"/>
  <c r="H15" i="35" s="1"/>
  <c r="G16" i="35" l="1"/>
  <c r="H16" i="35" s="1"/>
  <c r="G17" i="35" l="1"/>
  <c r="H17" i="35" s="1"/>
  <c r="G18" i="35" l="1"/>
  <c r="H18" i="35" s="1"/>
  <c r="G19" i="35" l="1"/>
  <c r="H19" i="35"/>
  <c r="G20" i="35" l="1"/>
  <c r="H20" i="35" s="1"/>
  <c r="G21" i="35" l="1"/>
  <c r="H21" i="35" s="1"/>
  <c r="G22" i="35" l="1"/>
  <c r="H22" i="35" s="1"/>
  <c r="G23" i="35" l="1"/>
  <c r="H23" i="35"/>
  <c r="G24" i="35" l="1"/>
  <c r="H24" i="35" s="1"/>
  <c r="G25" i="35" l="1"/>
  <c r="H25" i="35" s="1"/>
  <c r="G26" i="35" l="1"/>
  <c r="H26" i="35" s="1"/>
  <c r="G27" i="35" l="1"/>
  <c r="H27" i="35"/>
  <c r="G28" i="35" l="1"/>
  <c r="H28" i="35" s="1"/>
  <c r="G29" i="35" l="1"/>
  <c r="H29" i="35" s="1"/>
  <c r="G30" i="35" l="1"/>
  <c r="H30" i="35" s="1"/>
  <c r="G34" i="35" s="1"/>
  <c r="B7" i="36" s="1"/>
  <c r="B4" i="36" s="1"/>
  <c r="F5" i="37" l="1"/>
  <c r="F9" i="37"/>
  <c r="F13" i="37"/>
  <c r="F17" i="37"/>
  <c r="F21" i="37"/>
  <c r="F25" i="37"/>
  <c r="F29" i="37"/>
  <c r="F4" i="37"/>
  <c r="F8" i="37"/>
  <c r="F12" i="37"/>
  <c r="F16" i="37"/>
  <c r="F20" i="37"/>
  <c r="F24" i="37"/>
  <c r="F28" i="37"/>
  <c r="F3" i="37"/>
  <c r="G3" i="37" s="1"/>
  <c r="H3" i="37" s="1"/>
  <c r="F11" i="37"/>
  <c r="F19" i="37"/>
  <c r="F27" i="37"/>
  <c r="F6" i="37"/>
  <c r="F14" i="37"/>
  <c r="F22" i="37"/>
  <c r="F30" i="37"/>
  <c r="F7" i="37"/>
  <c r="F15" i="37"/>
  <c r="F23" i="37"/>
  <c r="F10" i="37"/>
  <c r="F2" i="37"/>
  <c r="F26" i="37"/>
  <c r="F18" i="37"/>
  <c r="G4" i="37" l="1"/>
  <c r="H4" i="37" s="1"/>
  <c r="G5" i="37" l="1"/>
  <c r="H5" i="37" s="1"/>
  <c r="G6" i="37" l="1"/>
  <c r="H6" i="37" s="1"/>
  <c r="G7" i="37" l="1"/>
  <c r="H7" i="37" s="1"/>
  <c r="G8" i="37" l="1"/>
  <c r="H8" i="37"/>
  <c r="G9" i="37" l="1"/>
  <c r="H9" i="37" s="1"/>
  <c r="G10" i="37" l="1"/>
  <c r="H10" i="37" s="1"/>
  <c r="G11" i="37" l="1"/>
  <c r="H11" i="37" s="1"/>
  <c r="G12" i="37" l="1"/>
  <c r="H12" i="37"/>
  <c r="G13" i="37" l="1"/>
  <c r="H13" i="37" s="1"/>
  <c r="G14" i="37" l="1"/>
  <c r="H14" i="37" s="1"/>
  <c r="G15" i="37" l="1"/>
  <c r="H15" i="37" s="1"/>
  <c r="G16" i="37" l="1"/>
  <c r="H16" i="37"/>
  <c r="G17" i="37" l="1"/>
  <c r="H17" i="37" s="1"/>
  <c r="G18" i="37" l="1"/>
  <c r="H18" i="37" s="1"/>
  <c r="G19" i="37" l="1"/>
  <c r="H19" i="37" s="1"/>
  <c r="G20" i="37" l="1"/>
  <c r="H20" i="37"/>
  <c r="G21" i="37" l="1"/>
  <c r="H21" i="37" s="1"/>
  <c r="G22" i="37" l="1"/>
  <c r="H22" i="37" s="1"/>
  <c r="G23" i="37" l="1"/>
  <c r="H23" i="37" s="1"/>
  <c r="G24" i="37" l="1"/>
  <c r="H24" i="37"/>
  <c r="G25" i="37" l="1"/>
  <c r="H25" i="37" s="1"/>
  <c r="G26" i="37" l="1"/>
  <c r="H26" i="37" s="1"/>
  <c r="G27" i="37" l="1"/>
  <c r="H27" i="37" s="1"/>
  <c r="G28" i="37" l="1"/>
  <c r="H28" i="37"/>
  <c r="G29" i="37" l="1"/>
  <c r="H29" i="37" s="1"/>
  <c r="G30" i="37" l="1"/>
  <c r="H30" i="37" s="1"/>
  <c r="G34" i="37" s="1"/>
</calcChain>
</file>

<file path=xl/comments1.xml><?xml version="1.0" encoding="utf-8"?>
<comments xmlns="http://schemas.openxmlformats.org/spreadsheetml/2006/main">
  <authors>
    <author>Fred Netzband</author>
  </authors>
  <commentList>
    <comment ref="E1" authorId="0">
      <text>
        <r>
          <rPr>
            <b/>
            <sz val="8"/>
            <color indexed="81"/>
            <rFont val="Tahoma"/>
            <family val="2"/>
          </rPr>
          <t>Fred Netzband:</t>
        </r>
        <r>
          <rPr>
            <sz val="8"/>
            <color indexed="81"/>
            <rFont val="Tahoma"/>
            <family val="2"/>
          </rPr>
          <t xml:space="preserve">
Rate from AT
IRR Function 
</t>
        </r>
      </text>
    </comment>
    <comment ref="N1" authorId="0">
      <text>
        <r>
          <rPr>
            <b/>
            <sz val="8"/>
            <color indexed="81"/>
            <rFont val="Tahoma"/>
            <family val="2"/>
          </rPr>
          <t>Fred Netzband:</t>
        </r>
        <r>
          <rPr>
            <sz val="8"/>
            <color indexed="81"/>
            <rFont val="Tahoma"/>
            <family val="2"/>
          </rPr>
          <t xml:space="preserve">
Rate from Interest AT PRICE functoin 
</t>
        </r>
      </text>
    </comment>
    <comment ref="M31" authorId="0">
      <text>
        <r>
          <rPr>
            <b/>
            <sz val="8"/>
            <color indexed="81"/>
            <rFont val="Tahoma"/>
            <family val="2"/>
          </rPr>
          <t>Fred Netzband:</t>
        </r>
        <r>
          <rPr>
            <sz val="8"/>
            <color indexed="81"/>
            <rFont val="Tahoma"/>
            <family val="2"/>
          </rPr>
          <t xml:space="preserve">
Discount Fully Amortized Carry Value = Face Value
</t>
        </r>
      </text>
    </comment>
  </commentList>
</comments>
</file>

<file path=xl/sharedStrings.xml><?xml version="1.0" encoding="utf-8"?>
<sst xmlns="http://schemas.openxmlformats.org/spreadsheetml/2006/main" count="218" uniqueCount="37">
  <si>
    <t xml:space="preserve">Cash Flow </t>
  </si>
  <si>
    <t xml:space="preserve"> </t>
  </si>
  <si>
    <t>A3 = A2-y2*(a2-a1)/y2-y1</t>
  </si>
  <si>
    <t>a2</t>
  </si>
  <si>
    <t>a1</t>
  </si>
  <si>
    <t xml:space="preserve">A3 </t>
  </si>
  <si>
    <t>y2</t>
  </si>
  <si>
    <t>y1</t>
  </si>
  <si>
    <t>Rate from Iteration 2</t>
  </si>
  <si>
    <t xml:space="preserve">Rate from Iteration 1 </t>
  </si>
  <si>
    <t xml:space="preserve">Result from Iteration 2 </t>
  </si>
  <si>
    <t>Result from Iteration1</t>
  </si>
  <si>
    <t xml:space="preserve">New Rate </t>
  </si>
  <si>
    <t xml:space="preserve">Date </t>
  </si>
  <si>
    <t>XIRR</t>
  </si>
  <si>
    <t xml:space="preserve">Face Value </t>
  </si>
  <si>
    <t xml:space="preserve">Cost </t>
  </si>
  <si>
    <t xml:space="preserve">Coupon Frequency </t>
  </si>
  <si>
    <t>Settlement</t>
  </si>
  <si>
    <t xml:space="preserve">Maturity </t>
  </si>
  <si>
    <t>Rate</t>
  </si>
  <si>
    <t>Price</t>
  </si>
  <si>
    <t>Redemption</t>
  </si>
  <si>
    <t>Day Basis</t>
  </si>
  <si>
    <t xml:space="preserve">Yield </t>
  </si>
  <si>
    <t xml:space="preserve">Carry Value </t>
  </si>
  <si>
    <t xml:space="preserve">Effective Interest Rate </t>
  </si>
  <si>
    <t xml:space="preserve">Disc Amortization </t>
  </si>
  <si>
    <t xml:space="preserve">Day Basis = 30/360 </t>
  </si>
  <si>
    <t>Discount Fully Amortized</t>
  </si>
  <si>
    <t xml:space="preserve">Coupon Rate </t>
  </si>
  <si>
    <t xml:space="preserve">Discount Rate </t>
  </si>
  <si>
    <t xml:space="preserve">Cash Payment </t>
  </si>
  <si>
    <t xml:space="preserve">XIRR Function </t>
  </si>
  <si>
    <t xml:space="preserve">Tolerance </t>
  </si>
  <si>
    <t>Discount</t>
  </si>
  <si>
    <t>Effective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</si>
</sst>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,##0.0000"/>
    <numFmt numFmtId="165" formatCode="0.000%"/>
    <numFmt numFmtId="166" formatCode="0.000000%"/>
    <numFmt numFmtId="167" formatCode="0.0000000000000"/>
  </numFmts>
  <fonts count="8" x14ac:knownFonts="1"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8">
    <xf numFmtId="0" fontId="0" fillId="0" borderId="0" xfId="0"/>
    <xf numFmtId="43" fontId="0" fillId="0" borderId="0" xfId="1" applyFont="1"/>
    <xf numFmtId="43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43" fontId="0" fillId="2" borderId="0" xfId="1" applyFont="1" applyFill="1"/>
    <xf numFmtId="0" fontId="0" fillId="2" borderId="1" xfId="0" applyFill="1" applyBorder="1"/>
    <xf numFmtId="14" fontId="0" fillId="0" borderId="0" xfId="0" applyNumberFormat="1"/>
    <xf numFmtId="165" fontId="0" fillId="0" borderId="0" xfId="5" applyNumberFormat="1" applyFont="1"/>
    <xf numFmtId="0" fontId="3" fillId="0" borderId="2" xfId="4" applyBorder="1"/>
    <xf numFmtId="14" fontId="3" fillId="0" borderId="2" xfId="4" applyNumberFormat="1" applyBorder="1"/>
    <xf numFmtId="0" fontId="4" fillId="0" borderId="0" xfId="3"/>
    <xf numFmtId="43" fontId="4" fillId="0" borderId="0" xfId="1" applyFont="1"/>
    <xf numFmtId="0" fontId="3" fillId="0" borderId="1" xfId="4" applyBorder="1"/>
    <xf numFmtId="14" fontId="3" fillId="0" borderId="1" xfId="4" applyNumberFormat="1" applyBorder="1"/>
    <xf numFmtId="10" fontId="3" fillId="0" borderId="1" xfId="4" applyNumberFormat="1" applyBorder="1"/>
    <xf numFmtId="0" fontId="3" fillId="2" borderId="1" xfId="4" applyFill="1" applyBorder="1"/>
    <xf numFmtId="43" fontId="4" fillId="0" borderId="1" xfId="1" applyFont="1" applyBorder="1"/>
    <xf numFmtId="0" fontId="0" fillId="2" borderId="0" xfId="0" applyFill="1" applyBorder="1"/>
    <xf numFmtId="43" fontId="0" fillId="3" borderId="0" xfId="1" applyFont="1" applyFill="1"/>
    <xf numFmtId="166" fontId="3" fillId="2" borderId="1" xfId="5" applyNumberFormat="1" applyFont="1" applyFill="1" applyBorder="1"/>
    <xf numFmtId="43" fontId="0" fillId="0" borderId="0" xfId="1" applyFont="1" applyFill="1"/>
    <xf numFmtId="0" fontId="0" fillId="0" borderId="0" xfId="0" applyFill="1"/>
    <xf numFmtId="43" fontId="0" fillId="4" borderId="0" xfId="1" applyFont="1" applyFill="1"/>
    <xf numFmtId="0" fontId="0" fillId="0" borderId="0" xfId="0" applyNumberFormat="1"/>
    <xf numFmtId="0" fontId="0" fillId="4" borderId="0" xfId="0" applyFill="1"/>
    <xf numFmtId="167" fontId="0" fillId="0" borderId="0" xfId="0" applyNumberFormat="1" applyFill="1"/>
    <xf numFmtId="164" fontId="0" fillId="0" borderId="1" xfId="0" applyNumberFormat="1" applyFill="1" applyBorder="1"/>
    <xf numFmtId="4" fontId="0" fillId="0" borderId="1" xfId="0" applyNumberFormat="1" applyFill="1" applyBorder="1"/>
    <xf numFmtId="43" fontId="0" fillId="0" borderId="0" xfId="0" applyNumberFormat="1" applyFill="1"/>
    <xf numFmtId="14" fontId="0" fillId="0" borderId="1" xfId="0" applyNumberFormat="1" applyBorder="1"/>
    <xf numFmtId="43" fontId="0" fillId="0" borderId="1" xfId="1" applyFont="1" applyBorder="1"/>
    <xf numFmtId="0" fontId="4" fillId="0" borderId="0" xfId="3" applyFont="1"/>
    <xf numFmtId="43" fontId="4" fillId="0" borderId="0" xfId="3" applyNumberFormat="1"/>
    <xf numFmtId="165" fontId="4" fillId="0" borderId="0" xfId="5" applyNumberFormat="1" applyFont="1"/>
    <xf numFmtId="0" fontId="3" fillId="0" borderId="3" xfId="4" applyFill="1" applyBorder="1"/>
    <xf numFmtId="166" fontId="0" fillId="0" borderId="0" xfId="5" applyNumberFormat="1" applyFont="1"/>
  </cellXfs>
  <cellStyles count="7">
    <cellStyle name="Comma" xfId="1" builtinId="3"/>
    <cellStyle name="Normal" xfId="0" builtinId="0"/>
    <cellStyle name="Normal 2" xfId="2"/>
    <cellStyle name="Normal_YIELD " xfId="3"/>
    <cellStyle name="Normal_YIELD _1" xfId="4"/>
    <cellStyle name="Percent" xfId="5" builtinId="5"/>
    <cellStyle name="Percent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E9" sqref="E9"/>
    </sheetView>
  </sheetViews>
  <sheetFormatPr defaultRowHeight="12.75" x14ac:dyDescent="0.2"/>
  <cols>
    <col min="1" max="1" width="17.42578125" bestFit="1" customWidth="1"/>
    <col min="2" max="2" width="11.28515625" bestFit="1" customWidth="1"/>
    <col min="3" max="3" width="2.7109375" bestFit="1" customWidth="1"/>
    <col min="4" max="4" width="11" bestFit="1" customWidth="1"/>
    <col min="5" max="6" width="14" bestFit="1" customWidth="1"/>
  </cols>
  <sheetData>
    <row r="1" spans="1:5" x14ac:dyDescent="0.2">
      <c r="A1" s="10" t="s">
        <v>18</v>
      </c>
      <c r="B1" s="11">
        <v>40130</v>
      </c>
      <c r="C1" s="12"/>
      <c r="D1" s="12" t="s">
        <v>16</v>
      </c>
      <c r="E1" s="13">
        <v>10183896.199999999</v>
      </c>
    </row>
    <row r="2" spans="1:5" x14ac:dyDescent="0.2">
      <c r="A2" s="14" t="s">
        <v>19</v>
      </c>
      <c r="B2" s="15">
        <v>42687</v>
      </c>
      <c r="C2" s="12"/>
      <c r="D2" s="12" t="s">
        <v>15</v>
      </c>
      <c r="E2" s="13">
        <v>11120346.43</v>
      </c>
    </row>
    <row r="3" spans="1:5" x14ac:dyDescent="0.2">
      <c r="A3" s="14" t="s">
        <v>20</v>
      </c>
      <c r="B3" s="16">
        <v>0.13</v>
      </c>
      <c r="C3" s="12"/>
      <c r="D3" s="33" t="s">
        <v>35</v>
      </c>
      <c r="E3" s="34">
        <f>E2-E1</f>
        <v>936450.23000000045</v>
      </c>
    </row>
    <row r="4" spans="1:5" x14ac:dyDescent="0.2">
      <c r="A4" s="14" t="s">
        <v>21</v>
      </c>
      <c r="B4" s="18">
        <f>+E1/E2*100</f>
        <v>91.578947329611211</v>
      </c>
      <c r="C4" s="13" t="s">
        <v>1</v>
      </c>
      <c r="D4" s="12"/>
      <c r="E4" s="12"/>
    </row>
    <row r="5" spans="1:5" x14ac:dyDescent="0.2">
      <c r="A5" s="14" t="s">
        <v>22</v>
      </c>
      <c r="B5" s="14">
        <v>100</v>
      </c>
      <c r="C5" s="12"/>
      <c r="D5" s="12"/>
      <c r="E5" s="12"/>
    </row>
    <row r="6" spans="1:5" x14ac:dyDescent="0.2">
      <c r="A6" s="14" t="s">
        <v>17</v>
      </c>
      <c r="B6" s="14">
        <v>4</v>
      </c>
      <c r="C6" s="12"/>
      <c r="D6" s="12"/>
      <c r="E6" s="12"/>
    </row>
    <row r="7" spans="1:5" x14ac:dyDescent="0.2">
      <c r="A7" s="14" t="s">
        <v>23</v>
      </c>
      <c r="B7" s="14">
        <v>0</v>
      </c>
      <c r="C7" s="12"/>
      <c r="D7" s="12"/>
      <c r="E7" s="12"/>
    </row>
    <row r="8" spans="1:5" x14ac:dyDescent="0.2">
      <c r="A8" s="17" t="s">
        <v>24</v>
      </c>
      <c r="B8" s="21">
        <f>YIELD(B1,B2,B3,B4,B5,B6,B7)</f>
        <v>0.1496141923890319</v>
      </c>
      <c r="C8" s="12"/>
      <c r="D8" s="35"/>
      <c r="E8" s="12"/>
    </row>
    <row r="9" spans="1:5" x14ac:dyDescent="0.2">
      <c r="A9" s="36" t="s">
        <v>36</v>
      </c>
      <c r="B9" s="37">
        <f>EFFECT(B3,B6)</f>
        <v>0.1364759281640624</v>
      </c>
    </row>
    <row r="30" spans="6:6" x14ac:dyDescent="0.2">
      <c r="F30" s="2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sqref="A1:B30"/>
    </sheetView>
  </sheetViews>
  <sheetFormatPr defaultRowHeight="12.75" x14ac:dyDescent="0.2"/>
  <cols>
    <col min="1" max="1" width="10.140625" bestFit="1" customWidth="1"/>
    <col min="2" max="2" width="14.5703125" bestFit="1" customWidth="1"/>
  </cols>
  <sheetData>
    <row r="1" spans="1:3" x14ac:dyDescent="0.2">
      <c r="A1" s="7" t="s">
        <v>13</v>
      </c>
      <c r="B1" s="7" t="s">
        <v>0</v>
      </c>
      <c r="C1" t="s">
        <v>14</v>
      </c>
    </row>
    <row r="2" spans="1:3" x14ac:dyDescent="0.2">
      <c r="A2" s="8">
        <v>40130</v>
      </c>
      <c r="B2" s="1">
        <v>-10183896.199999999</v>
      </c>
      <c r="C2" s="9">
        <f>XIRR(B2:B30,A2:A30)</f>
        <v>0.15812421441078192</v>
      </c>
    </row>
    <row r="3" spans="1:3" x14ac:dyDescent="0.2">
      <c r="A3" s="8">
        <v>40222</v>
      </c>
      <c r="B3" s="1">
        <v>361411.258975</v>
      </c>
    </row>
    <row r="4" spans="1:3" x14ac:dyDescent="0.2">
      <c r="A4" s="8">
        <v>40311</v>
      </c>
      <c r="B4" s="1">
        <v>361411.258975</v>
      </c>
    </row>
    <row r="5" spans="1:3" x14ac:dyDescent="0.2">
      <c r="A5" s="8">
        <v>40403</v>
      </c>
      <c r="B5" s="1">
        <v>361411.258975</v>
      </c>
    </row>
    <row r="6" spans="1:3" x14ac:dyDescent="0.2">
      <c r="A6" s="8">
        <v>40495</v>
      </c>
      <c r="B6" s="1">
        <v>361411.258975</v>
      </c>
    </row>
    <row r="7" spans="1:3" x14ac:dyDescent="0.2">
      <c r="A7" s="8">
        <v>40587</v>
      </c>
      <c r="B7" s="1">
        <v>361411.258975</v>
      </c>
    </row>
    <row r="8" spans="1:3" x14ac:dyDescent="0.2">
      <c r="A8" s="8">
        <v>40676</v>
      </c>
      <c r="B8" s="1">
        <v>361411.258975</v>
      </c>
    </row>
    <row r="9" spans="1:3" x14ac:dyDescent="0.2">
      <c r="A9" s="8">
        <v>40768</v>
      </c>
      <c r="B9" s="1">
        <v>361411.258975</v>
      </c>
    </row>
    <row r="10" spans="1:3" x14ac:dyDescent="0.2">
      <c r="A10" s="8">
        <v>40860</v>
      </c>
      <c r="B10" s="1">
        <v>361411.258975</v>
      </c>
    </row>
    <row r="11" spans="1:3" x14ac:dyDescent="0.2">
      <c r="A11" s="8">
        <v>40952</v>
      </c>
      <c r="B11" s="1">
        <v>361411.258975</v>
      </c>
    </row>
    <row r="12" spans="1:3" x14ac:dyDescent="0.2">
      <c r="A12" s="8">
        <v>41042</v>
      </c>
      <c r="B12" s="1">
        <v>361411.258975</v>
      </c>
    </row>
    <row r="13" spans="1:3" x14ac:dyDescent="0.2">
      <c r="A13" s="8">
        <v>41134</v>
      </c>
      <c r="B13" s="1">
        <v>361411.258975</v>
      </c>
    </row>
    <row r="14" spans="1:3" x14ac:dyDescent="0.2">
      <c r="A14" s="8">
        <v>41226</v>
      </c>
      <c r="B14" s="1">
        <v>361411.258975</v>
      </c>
    </row>
    <row r="15" spans="1:3" x14ac:dyDescent="0.2">
      <c r="A15" s="8">
        <v>41318</v>
      </c>
      <c r="B15" s="1">
        <v>361411.258975</v>
      </c>
    </row>
    <row r="16" spans="1:3" x14ac:dyDescent="0.2">
      <c r="A16" s="8">
        <v>41407</v>
      </c>
      <c r="B16" s="1">
        <v>361411.258975</v>
      </c>
    </row>
    <row r="17" spans="1:2" x14ac:dyDescent="0.2">
      <c r="A17" s="8">
        <v>41499</v>
      </c>
      <c r="B17" s="1">
        <v>361411.258975</v>
      </c>
    </row>
    <row r="18" spans="1:2" x14ac:dyDescent="0.2">
      <c r="A18" s="8">
        <v>41591</v>
      </c>
      <c r="B18" s="1">
        <v>361411.258975</v>
      </c>
    </row>
    <row r="19" spans="1:2" x14ac:dyDescent="0.2">
      <c r="A19" s="8">
        <v>41683</v>
      </c>
      <c r="B19" s="1">
        <v>361411.258975</v>
      </c>
    </row>
    <row r="20" spans="1:2" x14ac:dyDescent="0.2">
      <c r="A20" s="8">
        <v>41772</v>
      </c>
      <c r="B20" s="1">
        <v>361411.258975</v>
      </c>
    </row>
    <row r="21" spans="1:2" x14ac:dyDescent="0.2">
      <c r="A21" s="8">
        <v>41864</v>
      </c>
      <c r="B21" s="1">
        <v>361411.258975</v>
      </c>
    </row>
    <row r="22" spans="1:2" x14ac:dyDescent="0.2">
      <c r="A22" s="8">
        <v>41956</v>
      </c>
      <c r="B22" s="1">
        <v>361411.258975</v>
      </c>
    </row>
    <row r="23" spans="1:2" x14ac:dyDescent="0.2">
      <c r="A23" s="8">
        <v>42048</v>
      </c>
      <c r="B23" s="1">
        <v>361411.258975</v>
      </c>
    </row>
    <row r="24" spans="1:2" x14ac:dyDescent="0.2">
      <c r="A24" s="8">
        <v>42137</v>
      </c>
      <c r="B24" s="1">
        <v>361411.258975</v>
      </c>
    </row>
    <row r="25" spans="1:2" x14ac:dyDescent="0.2">
      <c r="A25" s="8">
        <v>42229</v>
      </c>
      <c r="B25" s="1">
        <v>361411.258975</v>
      </c>
    </row>
    <row r="26" spans="1:2" x14ac:dyDescent="0.2">
      <c r="A26" s="8">
        <v>42321</v>
      </c>
      <c r="B26" s="1">
        <v>361411.258975</v>
      </c>
    </row>
    <row r="27" spans="1:2" x14ac:dyDescent="0.2">
      <c r="A27" s="8">
        <v>42413</v>
      </c>
      <c r="B27" s="1">
        <v>361411.258975</v>
      </c>
    </row>
    <row r="28" spans="1:2" x14ac:dyDescent="0.2">
      <c r="A28" s="8">
        <v>42503</v>
      </c>
      <c r="B28" s="1">
        <v>361411.258975</v>
      </c>
    </row>
    <row r="29" spans="1:2" x14ac:dyDescent="0.2">
      <c r="A29" s="8">
        <v>42595</v>
      </c>
      <c r="B29" s="1">
        <v>361411.258975</v>
      </c>
    </row>
    <row r="30" spans="1:2" x14ac:dyDescent="0.2">
      <c r="A30" s="8">
        <v>42687</v>
      </c>
      <c r="B30" s="1">
        <v>11481757.688975001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2"/>
  <sheetViews>
    <sheetView workbookViewId="0">
      <selection activeCell="A13" sqref="A13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3" width="14.5703125" customWidth="1"/>
    <col min="4" max="4" width="14" bestFit="1" customWidth="1"/>
    <col min="5" max="5" width="19.85546875" bestFit="1" customWidth="1"/>
    <col min="6" max="6" width="15.28515625" customWidth="1"/>
    <col min="7" max="7" width="12.85546875" bestFit="1" customWidth="1"/>
    <col min="10" max="10" width="10.140625" bestFit="1" customWidth="1"/>
    <col min="11" max="11" width="14.5703125" bestFit="1" customWidth="1"/>
    <col min="12" max="12" width="14.5703125" customWidth="1"/>
    <col min="13" max="13" width="14" bestFit="1" customWidth="1"/>
    <col min="14" max="14" width="19.85546875" bestFit="1" customWidth="1"/>
    <col min="15" max="15" width="15.28515625" customWidth="1"/>
  </cols>
  <sheetData>
    <row r="1" spans="1:15" x14ac:dyDescent="0.2">
      <c r="A1" s="3" t="s">
        <v>28</v>
      </c>
      <c r="E1">
        <v>0.15821961619647662</v>
      </c>
      <c r="J1" s="3" t="s">
        <v>28</v>
      </c>
      <c r="N1">
        <v>0.1496141923890319</v>
      </c>
    </row>
    <row r="2" spans="1:15" x14ac:dyDescent="0.2">
      <c r="A2" s="7" t="s">
        <v>13</v>
      </c>
      <c r="B2" s="7" t="s">
        <v>0</v>
      </c>
      <c r="C2" s="19" t="s">
        <v>15</v>
      </c>
      <c r="D2" s="19" t="s">
        <v>25</v>
      </c>
      <c r="E2" s="19" t="s">
        <v>26</v>
      </c>
      <c r="F2" s="19" t="s">
        <v>27</v>
      </c>
      <c r="J2" s="7" t="s">
        <v>13</v>
      </c>
      <c r="K2" s="7" t="s">
        <v>0</v>
      </c>
      <c r="L2" s="19" t="s">
        <v>15</v>
      </c>
      <c r="M2" s="19" t="s">
        <v>25</v>
      </c>
      <c r="N2" s="19" t="s">
        <v>26</v>
      </c>
      <c r="O2" s="19" t="s">
        <v>27</v>
      </c>
    </row>
    <row r="3" spans="1:15" x14ac:dyDescent="0.2">
      <c r="A3" s="8">
        <v>40130</v>
      </c>
      <c r="B3" s="1">
        <v>-10183896.199999999</v>
      </c>
      <c r="C3" s="2">
        <v>11120346.430000002</v>
      </c>
      <c r="D3" s="1">
        <v>10183896.199999999</v>
      </c>
      <c r="E3">
        <f>+E1</f>
        <v>0.15821961619647662</v>
      </c>
      <c r="J3" s="8">
        <v>40130</v>
      </c>
      <c r="K3" s="1">
        <v>-10183896.199999999</v>
      </c>
      <c r="L3" s="2">
        <v>11120346.430000002</v>
      </c>
      <c r="M3" s="1">
        <v>10183896.199999999</v>
      </c>
      <c r="N3">
        <f>+N1</f>
        <v>0.1496141923890319</v>
      </c>
    </row>
    <row r="4" spans="1:15" x14ac:dyDescent="0.2">
      <c r="A4" s="8">
        <v>40222</v>
      </c>
      <c r="B4" s="1">
        <v>361411.258975</v>
      </c>
      <c r="C4" s="1"/>
      <c r="D4" s="1">
        <f t="shared" ref="D4:D31" si="0">+D3+F4</f>
        <v>10225307.978062188</v>
      </c>
      <c r="F4" s="2">
        <f>(0.25*$E$3*D3)-B4</f>
        <v>41411.778062189114</v>
      </c>
      <c r="G4" s="2"/>
      <c r="J4" s="8">
        <v>40222</v>
      </c>
      <c r="K4" s="1">
        <v>361411.258975</v>
      </c>
      <c r="L4" s="1"/>
      <c r="M4" s="1">
        <f t="shared" ref="M4:M31" si="1">+M3+O4</f>
        <v>10203398.792359183</v>
      </c>
      <c r="O4" s="2">
        <f>(0.25*$N$3*M3)-K4</f>
        <v>19502.592359182658</v>
      </c>
    </row>
    <row r="5" spans="1:15" x14ac:dyDescent="0.2">
      <c r="A5" s="8">
        <v>40311</v>
      </c>
      <c r="B5" s="1">
        <v>361411.258975</v>
      </c>
      <c r="C5" s="1"/>
      <c r="D5" s="1">
        <f t="shared" si="0"/>
        <v>10268357.795032131</v>
      </c>
      <c r="F5" s="2">
        <f>(0.25*$E$3*D4)-B5</f>
        <v>43049.816969942418</v>
      </c>
      <c r="J5" s="8">
        <v>40311</v>
      </c>
      <c r="K5" s="1">
        <v>361411.258975</v>
      </c>
      <c r="L5" s="1"/>
      <c r="M5" s="1">
        <f t="shared" si="1"/>
        <v>10223630.850869693</v>
      </c>
      <c r="O5" s="2">
        <f t="shared" ref="O5:O31" si="2">(0.25*$N$3*M4)-K5</f>
        <v>20232.0585105106</v>
      </c>
    </row>
    <row r="6" spans="1:15" x14ac:dyDescent="0.2">
      <c r="A6" s="8">
        <v>40403</v>
      </c>
      <c r="B6" s="1">
        <v>361411.258975</v>
      </c>
      <c r="C6" s="1"/>
      <c r="D6" s="1">
        <f t="shared" si="0"/>
        <v>10313110.44338165</v>
      </c>
      <c r="F6" s="2">
        <f t="shared" ref="F6:F31" si="3">(0.25*$E$3*D5)-B6</f>
        <v>44752.648349520634</v>
      </c>
      <c r="J6" s="8">
        <v>40403</v>
      </c>
      <c r="K6" s="1">
        <v>361411.258975</v>
      </c>
      <c r="L6" s="1"/>
      <c r="M6" s="1">
        <f t="shared" si="1"/>
        <v>10244619.660153808</v>
      </c>
      <c r="O6" s="2">
        <f t="shared" si="2"/>
        <v>20988.809284115036</v>
      </c>
    </row>
    <row r="7" spans="1:15" x14ac:dyDescent="0.2">
      <c r="A7" s="8">
        <v>40495</v>
      </c>
      <c r="B7" s="1">
        <v>361411.258975</v>
      </c>
      <c r="C7" s="1"/>
      <c r="D7" s="1">
        <f t="shared" si="0"/>
        <v>10359633.27844258</v>
      </c>
      <c r="F7" s="2">
        <f t="shared" si="3"/>
        <v>46522.83506092988</v>
      </c>
      <c r="J7" s="8">
        <v>40495</v>
      </c>
      <c r="K7" s="1">
        <v>361411.258975</v>
      </c>
      <c r="L7" s="1"/>
      <c r="M7" s="1">
        <f t="shared" si="1"/>
        <v>10266393.525375485</v>
      </c>
      <c r="O7" s="2">
        <f t="shared" si="2"/>
        <v>21773.865221677581</v>
      </c>
    </row>
    <row r="8" spans="1:15" x14ac:dyDescent="0.2">
      <c r="A8" s="8">
        <v>40587</v>
      </c>
      <c r="B8" s="1">
        <v>361411.258975</v>
      </c>
      <c r="C8" s="1"/>
      <c r="D8" s="1">
        <f t="shared" si="0"/>
        <v>10407996.319780439</v>
      </c>
      <c r="F8" s="2">
        <f t="shared" si="3"/>
        <v>48363.041337857954</v>
      </c>
      <c r="J8" s="8">
        <v>40587</v>
      </c>
      <c r="K8" s="1">
        <v>361411.258975</v>
      </c>
      <c r="L8" s="1"/>
      <c r="M8" s="1">
        <f t="shared" si="1"/>
        <v>10288981.810412245</v>
      </c>
      <c r="O8" s="2">
        <f t="shared" si="2"/>
        <v>22588.2850367598</v>
      </c>
    </row>
    <row r="9" spans="1:15" x14ac:dyDescent="0.2">
      <c r="A9" s="8">
        <v>40676</v>
      </c>
      <c r="B9" s="1">
        <v>361411.258975</v>
      </c>
      <c r="C9" s="1"/>
      <c r="D9" s="1">
        <f t="shared" si="0"/>
        <v>10458272.35657794</v>
      </c>
      <c r="F9" s="2">
        <f t="shared" si="3"/>
        <v>50276.036797500565</v>
      </c>
      <c r="J9" s="8">
        <v>40676</v>
      </c>
      <c r="K9" s="1">
        <v>361411.258975</v>
      </c>
      <c r="L9" s="1"/>
      <c r="M9" s="1">
        <f t="shared" si="1"/>
        <v>10312414.977454811</v>
      </c>
      <c r="O9" s="2">
        <f t="shared" si="2"/>
        <v>23433.167042566813</v>
      </c>
    </row>
    <row r="10" spans="1:15" x14ac:dyDescent="0.2">
      <c r="A10" s="8">
        <v>40768</v>
      </c>
      <c r="B10" s="1">
        <v>361411.258975</v>
      </c>
      <c r="C10" s="1"/>
      <c r="D10" s="1">
        <f t="shared" si="0"/>
        <v>10510537.057186935</v>
      </c>
      <c r="F10" s="2">
        <f t="shared" si="3"/>
        <v>52264.700608995685</v>
      </c>
      <c r="J10" s="8">
        <v>40768</v>
      </c>
      <c r="K10" s="1">
        <v>361411.258975</v>
      </c>
      <c r="L10" s="1"/>
      <c r="M10" s="1">
        <f t="shared" si="1"/>
        <v>10336724.628087927</v>
      </c>
      <c r="O10" s="2">
        <f t="shared" si="2"/>
        <v>24309.650633114565</v>
      </c>
    </row>
    <row r="11" spans="1:15" x14ac:dyDescent="0.2">
      <c r="A11" s="8">
        <v>40860</v>
      </c>
      <c r="B11" s="1">
        <v>361411.258975</v>
      </c>
      <c r="C11" s="1"/>
      <c r="D11" s="1">
        <f t="shared" si="0"/>
        <v>10564869.083013676</v>
      </c>
      <c r="F11" s="2">
        <f t="shared" si="3"/>
        <v>54332.025826740428</v>
      </c>
      <c r="J11" s="8">
        <v>40860</v>
      </c>
      <c r="K11" s="1">
        <v>361411.258975</v>
      </c>
      <c r="L11" s="1"/>
      <c r="M11" s="1">
        <f t="shared" si="1"/>
        <v>10361943.545907725</v>
      </c>
      <c r="O11" s="2">
        <f t="shared" si="2"/>
        <v>25218.917819797818</v>
      </c>
    </row>
    <row r="12" spans="1:15" x14ac:dyDescent="0.2">
      <c r="A12" s="8">
        <v>40952</v>
      </c>
      <c r="B12" s="1">
        <v>361411.258975</v>
      </c>
      <c r="C12" s="1"/>
      <c r="D12" s="1">
        <f t="shared" si="0"/>
        <v>10621350.206908787</v>
      </c>
      <c r="F12" s="2">
        <f t="shared" si="3"/>
        <v>56481.123895111436</v>
      </c>
      <c r="J12" s="8">
        <v>40952</v>
      </c>
      <c r="K12" s="1">
        <v>361411.258975</v>
      </c>
      <c r="L12" s="1"/>
      <c r="M12" s="1">
        <f t="shared" si="1"/>
        <v>10388105.740733156</v>
      </c>
      <c r="O12" s="2">
        <f t="shared" si="2"/>
        <v>26162.19482543139</v>
      </c>
    </row>
    <row r="13" spans="1:15" x14ac:dyDescent="0.2">
      <c r="A13" s="8">
        <v>41042</v>
      </c>
      <c r="B13" s="1">
        <v>361411.258975</v>
      </c>
      <c r="C13" s="1"/>
      <c r="D13" s="1">
        <f t="shared" si="0"/>
        <v>10680065.436240155</v>
      </c>
      <c r="F13" s="2">
        <f t="shared" si="3"/>
        <v>58715.22933136893</v>
      </c>
      <c r="J13" s="8">
        <v>41042</v>
      </c>
      <c r="K13" s="1">
        <v>361411.258975</v>
      </c>
      <c r="L13" s="1"/>
      <c r="M13" s="1">
        <f t="shared" si="1"/>
        <v>10415246.494471069</v>
      </c>
      <c r="O13" s="2">
        <f t="shared" si="2"/>
        <v>27140.75373791426</v>
      </c>
    </row>
    <row r="14" spans="1:15" x14ac:dyDescent="0.2">
      <c r="A14" s="8">
        <v>41134</v>
      </c>
      <c r="B14" s="1">
        <v>361411.258975</v>
      </c>
      <c r="C14" s="1"/>
      <c r="D14" s="1">
        <f t="shared" si="0"/>
        <v>10741103.140833948</v>
      </c>
      <c r="F14" s="2">
        <f t="shared" si="3"/>
        <v>61037.704593793256</v>
      </c>
      <c r="J14" s="8">
        <v>41134</v>
      </c>
      <c r="K14" s="1">
        <v>361411.258975</v>
      </c>
      <c r="L14" s="1"/>
      <c r="M14" s="1">
        <f t="shared" si="1"/>
        <v>10443402.408696815</v>
      </c>
      <c r="O14" s="2">
        <f t="shared" si="2"/>
        <v>28155.914225746179</v>
      </c>
    </row>
    <row r="15" spans="1:15" x14ac:dyDescent="0.2">
      <c r="A15" s="8">
        <v>41226</v>
      </c>
      <c r="B15" s="1">
        <v>361411.258975</v>
      </c>
      <c r="C15" s="1"/>
      <c r="D15" s="1">
        <f t="shared" si="0"/>
        <v>10804555.185976326</v>
      </c>
      <c r="F15" s="2">
        <f t="shared" si="3"/>
        <v>63452.045142379182</v>
      </c>
      <c r="J15" s="8">
        <v>41226</v>
      </c>
      <c r="K15" s="1">
        <v>361411.258975</v>
      </c>
      <c r="L15" s="1"/>
      <c r="M15" s="1">
        <f t="shared" si="1"/>
        <v>10472611.454014527</v>
      </c>
      <c r="O15" s="2">
        <f t="shared" si="2"/>
        <v>29209.045317711134</v>
      </c>
    </row>
    <row r="16" spans="1:15" x14ac:dyDescent="0.2">
      <c r="A16" s="8">
        <v>41318</v>
      </c>
      <c r="B16" s="1">
        <v>361411.258975</v>
      </c>
      <c r="C16" s="1"/>
      <c r="D16" s="1">
        <f t="shared" si="0"/>
        <v>10870517.070676032</v>
      </c>
      <c r="F16" s="2">
        <f t="shared" si="3"/>
        <v>65961.884699706337</v>
      </c>
      <c r="J16" s="8">
        <v>41318</v>
      </c>
      <c r="K16" s="1">
        <v>361411.258975</v>
      </c>
      <c r="L16" s="1"/>
      <c r="M16" s="1">
        <f t="shared" si="1"/>
        <v>10502913.021263653</v>
      </c>
      <c r="O16" s="2">
        <f t="shared" si="2"/>
        <v>30301.56724912714</v>
      </c>
    </row>
    <row r="17" spans="1:15" x14ac:dyDescent="0.2">
      <c r="A17" s="8">
        <v>41407</v>
      </c>
      <c r="B17" s="1">
        <v>361411.258975</v>
      </c>
      <c r="C17" s="1"/>
      <c r="D17" s="1">
        <f t="shared" si="0"/>
        <v>10939088.071395935</v>
      </c>
      <c r="F17" s="2">
        <f t="shared" si="3"/>
        <v>68571.00071990228</v>
      </c>
      <c r="J17" s="8">
        <v>41407</v>
      </c>
      <c r="K17" s="1">
        <v>361411.258975</v>
      </c>
      <c r="L17" s="1"/>
      <c r="M17" s="1">
        <f t="shared" si="1"/>
        <v>10534347.974640805</v>
      </c>
      <c r="O17" s="2">
        <f t="shared" si="2"/>
        <v>31434.953377152095</v>
      </c>
    </row>
    <row r="18" spans="1:15" x14ac:dyDescent="0.2">
      <c r="A18" s="8">
        <v>41499</v>
      </c>
      <c r="B18" s="1">
        <v>361411.258975</v>
      </c>
      <c r="C18" s="1"/>
      <c r="D18" s="1">
        <f t="shared" si="0"/>
        <v>11010371.391469866</v>
      </c>
      <c r="F18" s="2">
        <f t="shared" si="3"/>
        <v>71283.320073930139</v>
      </c>
      <c r="J18" s="8">
        <v>41499</v>
      </c>
      <c r="K18" s="1">
        <v>361411.258975</v>
      </c>
      <c r="L18" s="1"/>
      <c r="M18" s="22">
        <f t="shared" si="1"/>
        <v>10566958.706808535</v>
      </c>
      <c r="O18" s="2">
        <f t="shared" si="2"/>
        <v>32610.732167729468</v>
      </c>
    </row>
    <row r="19" spans="1:15" x14ac:dyDescent="0.2">
      <c r="A19" s="8">
        <v>41591</v>
      </c>
      <c r="B19" s="1">
        <v>361411.258975</v>
      </c>
      <c r="C19" s="1"/>
      <c r="D19" s="1">
        <f t="shared" si="0"/>
        <v>11084474.316429622</v>
      </c>
      <c r="F19" s="2">
        <f t="shared" si="3"/>
        <v>74102.924959757132</v>
      </c>
      <c r="J19" s="8">
        <v>41591</v>
      </c>
      <c r="K19" s="1">
        <v>361411.258975</v>
      </c>
      <c r="L19" s="1"/>
      <c r="M19" s="22">
        <f t="shared" si="1"/>
        <v>10600789.196065387</v>
      </c>
      <c r="O19" s="2">
        <f t="shared" si="2"/>
        <v>33830.489256851957</v>
      </c>
    </row>
    <row r="20" spans="1:15" x14ac:dyDescent="0.2">
      <c r="A20" s="8">
        <v>41683</v>
      </c>
      <c r="B20" s="1">
        <v>361411.258975</v>
      </c>
      <c r="C20" s="1"/>
      <c r="D20" s="20">
        <f t="shared" si="0"/>
        <v>11161508.375475923</v>
      </c>
      <c r="F20" s="2">
        <f t="shared" si="3"/>
        <v>77034.059046299371</v>
      </c>
      <c r="G20" s="3" t="s">
        <v>29</v>
      </c>
      <c r="J20" s="8">
        <v>41683</v>
      </c>
      <c r="K20" s="1">
        <v>361411.258975</v>
      </c>
      <c r="L20" s="1"/>
      <c r="M20" s="22">
        <f t="shared" si="1"/>
        <v>10635885.065654311</v>
      </c>
      <c r="O20" s="2">
        <f t="shared" si="2"/>
        <v>35095.869588924397</v>
      </c>
    </row>
    <row r="21" spans="1:15" x14ac:dyDescent="0.2">
      <c r="A21" s="8">
        <v>41772</v>
      </c>
      <c r="B21" s="1">
        <v>361411.258975</v>
      </c>
      <c r="C21" s="1"/>
      <c r="D21" s="1">
        <f t="shared" si="0"/>
        <v>11241589.509336313</v>
      </c>
      <c r="F21" s="2">
        <f t="shared" si="3"/>
        <v>80081.133860389935</v>
      </c>
      <c r="J21" s="8">
        <v>41772</v>
      </c>
      <c r="K21" s="1">
        <v>361411.258975</v>
      </c>
      <c r="L21" s="1"/>
      <c r="M21" s="22">
        <f t="shared" si="1"/>
        <v>10672293.645289421</v>
      </c>
      <c r="O21" s="2">
        <f t="shared" si="2"/>
        <v>36408.579635108821</v>
      </c>
    </row>
    <row r="22" spans="1:15" x14ac:dyDescent="0.2">
      <c r="A22" s="8">
        <v>41864</v>
      </c>
      <c r="B22" s="1">
        <v>361411.258975</v>
      </c>
      <c r="C22" s="1"/>
      <c r="D22" s="1">
        <f t="shared" si="0"/>
        <v>11324838.244762696</v>
      </c>
      <c r="F22" s="2">
        <f t="shared" si="3"/>
        <v>83248.735426382336</v>
      </c>
      <c r="J22" s="8">
        <v>41864</v>
      </c>
      <c r="K22" s="1">
        <v>361411.258975</v>
      </c>
      <c r="L22" s="1"/>
      <c r="M22" s="22">
        <f t="shared" si="1"/>
        <v>10710064.034984065</v>
      </c>
      <c r="O22" s="2">
        <f t="shared" si="2"/>
        <v>37770.389694643498</v>
      </c>
    </row>
    <row r="23" spans="1:15" x14ac:dyDescent="0.2">
      <c r="A23" s="8">
        <v>41956</v>
      </c>
      <c r="B23" s="1">
        <v>361411.258975</v>
      </c>
      <c r="C23" s="1"/>
      <c r="D23" s="1">
        <f t="shared" si="0"/>
        <v>11411379.87593108</v>
      </c>
      <c r="F23" s="2">
        <f t="shared" si="3"/>
        <v>86541.631168383465</v>
      </c>
      <c r="J23" s="8">
        <v>41956</v>
      </c>
      <c r="K23" s="1">
        <v>361411.258975</v>
      </c>
      <c r="L23" s="1"/>
      <c r="M23" s="22">
        <f t="shared" si="1"/>
        <v>10749247.171266304</v>
      </c>
      <c r="O23" s="2">
        <f t="shared" si="2"/>
        <v>39183.136282239284</v>
      </c>
    </row>
    <row r="24" spans="1:15" x14ac:dyDescent="0.2">
      <c r="A24" s="8">
        <v>42048</v>
      </c>
      <c r="B24" s="1">
        <v>361411.258975</v>
      </c>
      <c r="C24" s="1"/>
      <c r="D24" s="1">
        <f t="shared" si="0"/>
        <v>11501344.653016584</v>
      </c>
      <c r="F24" s="2">
        <f t="shared" si="3"/>
        <v>89964.777085503156</v>
      </c>
      <c r="J24" s="8">
        <v>42048</v>
      </c>
      <c r="K24" s="1">
        <v>361411.258975</v>
      </c>
      <c r="L24" s="1"/>
      <c r="M24" s="22">
        <f t="shared" si="1"/>
        <v>10789895.895871079</v>
      </c>
      <c r="O24" s="2">
        <f t="shared" si="2"/>
        <v>40648.724604773452</v>
      </c>
    </row>
    <row r="25" spans="1:15" x14ac:dyDescent="0.2">
      <c r="A25" s="8">
        <v>42137</v>
      </c>
      <c r="B25" s="1">
        <v>361411.258975</v>
      </c>
      <c r="C25" s="1"/>
      <c r="D25" s="1">
        <f t="shared" si="0"/>
        <v>11594867.978227505</v>
      </c>
      <c r="F25" s="2">
        <f t="shared" si="3"/>
        <v>93523.325210920593</v>
      </c>
      <c r="J25" s="8">
        <v>42137</v>
      </c>
      <c r="K25" s="1">
        <v>361411.258975</v>
      </c>
      <c r="L25" s="1"/>
      <c r="M25" s="22">
        <f t="shared" si="1"/>
        <v>10832065.027001699</v>
      </c>
      <c r="O25" s="2">
        <f t="shared" si="2"/>
        <v>42169.131130620313</v>
      </c>
    </row>
    <row r="26" spans="1:15" x14ac:dyDescent="0.2">
      <c r="A26" s="8">
        <v>42229</v>
      </c>
      <c r="B26" s="1">
        <v>361411.258975</v>
      </c>
      <c r="C26" s="1"/>
      <c r="D26" s="1">
        <f t="shared" si="0"/>
        <v>11692090.609593499</v>
      </c>
      <c r="F26" s="2">
        <f t="shared" si="3"/>
        <v>97222.631365993177</v>
      </c>
      <c r="J26" s="8">
        <v>42229</v>
      </c>
      <c r="K26" s="1">
        <v>361411.258975</v>
      </c>
      <c r="L26" s="1"/>
      <c r="M26" s="22">
        <f t="shared" si="1"/>
        <v>10875811.433256783</v>
      </c>
      <c r="O26" s="2">
        <f t="shared" si="2"/>
        <v>43746.406255084032</v>
      </c>
    </row>
    <row r="27" spans="1:15" x14ac:dyDescent="0.2">
      <c r="A27" s="8">
        <v>42321</v>
      </c>
      <c r="B27" s="1">
        <v>361411.258975</v>
      </c>
      <c r="C27" s="1"/>
      <c r="D27" s="1">
        <f t="shared" si="0"/>
        <v>11793158.872814577</v>
      </c>
      <c r="F27" s="2">
        <f t="shared" si="3"/>
        <v>101068.26322107797</v>
      </c>
      <c r="J27" s="8">
        <v>42321</v>
      </c>
      <c r="K27" s="1">
        <v>361411.258975</v>
      </c>
      <c r="L27" s="1"/>
      <c r="M27" s="22">
        <f t="shared" si="1"/>
        <v>10921194.110322312</v>
      </c>
      <c r="O27" s="2">
        <f t="shared" si="2"/>
        <v>45382.677065528231</v>
      </c>
    </row>
    <row r="28" spans="1:15" x14ac:dyDescent="0.2">
      <c r="A28" s="8">
        <v>42413</v>
      </c>
      <c r="B28" s="1">
        <v>361411.258975</v>
      </c>
      <c r="C28" s="1"/>
      <c r="D28" s="1">
        <f t="shared" si="0"/>
        <v>11898224.881489776</v>
      </c>
      <c r="F28" s="2">
        <f t="shared" si="3"/>
        <v>105066.00867519883</v>
      </c>
      <c r="J28" s="8">
        <v>42413</v>
      </c>
      <c r="K28" s="1">
        <v>361411.258975</v>
      </c>
      <c r="L28" s="1"/>
      <c r="M28" s="22">
        <f t="shared" si="1"/>
        <v>10968274.260532243</v>
      </c>
      <c r="O28" s="2">
        <f t="shared" si="2"/>
        <v>47080.150209931075</v>
      </c>
    </row>
    <row r="29" spans="1:15" x14ac:dyDescent="0.2">
      <c r="A29" s="8">
        <v>42503</v>
      </c>
      <c r="B29" s="1">
        <v>361411.258975</v>
      </c>
      <c r="C29" s="1"/>
      <c r="D29" s="1">
        <f t="shared" si="0"/>
        <v>12007446.766056946</v>
      </c>
      <c r="F29" s="2">
        <f t="shared" si="3"/>
        <v>109221.88456717023</v>
      </c>
      <c r="J29" s="8">
        <v>42503</v>
      </c>
      <c r="K29" s="1">
        <v>361411.258975</v>
      </c>
      <c r="L29" s="1"/>
      <c r="M29" s="22">
        <f t="shared" si="1"/>
        <v>11017115.375404978</v>
      </c>
      <c r="O29" s="2">
        <f t="shared" si="2"/>
        <v>48841.114872734412</v>
      </c>
    </row>
    <row r="30" spans="1:15" x14ac:dyDescent="0.2">
      <c r="A30" s="8">
        <v>42595</v>
      </c>
      <c r="B30" s="1">
        <v>361411.258975</v>
      </c>
      <c r="C30" s="1"/>
      <c r="D30" s="1">
        <f t="shared" si="0"/>
        <v>12120988.911788234</v>
      </c>
      <c r="F30" s="2">
        <f t="shared" si="3"/>
        <v>113542.14573128859</v>
      </c>
      <c r="J30" s="8">
        <v>42595</v>
      </c>
      <c r="K30" s="1">
        <v>361411.258975</v>
      </c>
      <c r="L30" s="1"/>
      <c r="M30" s="22">
        <f t="shared" si="1"/>
        <v>11067783.321266979</v>
      </c>
      <c r="O30" s="2">
        <f t="shared" si="2"/>
        <v>50667.945862000459</v>
      </c>
    </row>
    <row r="31" spans="1:15" x14ac:dyDescent="0.2">
      <c r="A31" s="8">
        <v>42687</v>
      </c>
      <c r="B31" s="1">
        <v>361411.258975</v>
      </c>
      <c r="C31" s="1"/>
      <c r="D31" s="6">
        <f t="shared" si="0"/>
        <v>12239022.206199456</v>
      </c>
      <c r="F31" s="2">
        <f t="shared" si="3"/>
        <v>118033.29441122082</v>
      </c>
      <c r="J31" s="8">
        <v>42687</v>
      </c>
      <c r="K31" s="1">
        <v>361411.258975</v>
      </c>
      <c r="L31" s="1"/>
      <c r="M31" s="24">
        <f t="shared" si="1"/>
        <v>11120346.428079018</v>
      </c>
      <c r="O31" s="2">
        <f t="shared" si="2"/>
        <v>52563.106812039041</v>
      </c>
    </row>
    <row r="32" spans="1:15" x14ac:dyDescent="0.2">
      <c r="F32" s="2">
        <f>SUM(F4:F31)</f>
        <v>2055126.0061994537</v>
      </c>
      <c r="M32" s="23"/>
      <c r="O32" s="2">
        <f>SUM(O4:O31)</f>
        <v>936450.22807901562</v>
      </c>
    </row>
  </sheetData>
  <phoneticPr fontId="7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H36"/>
  <sheetViews>
    <sheetView workbookViewId="0">
      <selection activeCell="F16" sqref="F16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5" width="14.5703125" customWidth="1"/>
    <col min="6" max="6" width="13.42578125" customWidth="1"/>
    <col min="7" max="7" width="14.85546875" customWidth="1"/>
    <col min="8" max="8" width="13.42578125" customWidth="1"/>
  </cols>
  <sheetData>
    <row r="1" spans="1:8" x14ac:dyDescent="0.2">
      <c r="A1" s="7" t="s">
        <v>13</v>
      </c>
      <c r="B1" s="7" t="s">
        <v>0</v>
      </c>
      <c r="C1" s="7" t="s">
        <v>15</v>
      </c>
      <c r="D1" s="7" t="s">
        <v>30</v>
      </c>
      <c r="E1" s="7" t="s">
        <v>32</v>
      </c>
      <c r="F1" s="7" t="s">
        <v>31</v>
      </c>
      <c r="G1" s="7" t="s">
        <v>27</v>
      </c>
      <c r="H1" s="7" t="s">
        <v>25</v>
      </c>
    </row>
    <row r="2" spans="1:8" x14ac:dyDescent="0.2">
      <c r="A2" s="8">
        <v>40130</v>
      </c>
      <c r="B2" s="22">
        <v>-10183896.199999999</v>
      </c>
      <c r="C2" s="22">
        <v>11120346.43</v>
      </c>
      <c r="D2" s="22">
        <v>0.13</v>
      </c>
      <c r="E2" s="22" t="s">
        <v>1</v>
      </c>
      <c r="F2" s="28">
        <v>0</v>
      </c>
      <c r="G2" s="28"/>
      <c r="H2" s="29">
        <f>+B2*-1</f>
        <v>10183896.199999999</v>
      </c>
    </row>
    <row r="3" spans="1:8" x14ac:dyDescent="0.2">
      <c r="A3" s="8">
        <v>40222</v>
      </c>
      <c r="B3" s="22">
        <v>361411.258975</v>
      </c>
      <c r="C3" s="22">
        <v>11120346.43</v>
      </c>
      <c r="D3" s="22">
        <v>0.13</v>
      </c>
      <c r="E3" s="22">
        <f>+D3*C3*0.25</f>
        <v>361411.258975</v>
      </c>
      <c r="F3" s="28">
        <v>0</v>
      </c>
      <c r="G3" s="28">
        <f>E3-((H2*0.25*F3))</f>
        <v>361411.258975</v>
      </c>
      <c r="H3" s="29">
        <f>+H2-G3</f>
        <v>9822484.9410250001</v>
      </c>
    </row>
    <row r="4" spans="1:8" x14ac:dyDescent="0.2">
      <c r="A4" s="8">
        <v>40311</v>
      </c>
      <c r="B4" s="22">
        <v>361411.258975</v>
      </c>
      <c r="C4" s="22">
        <v>11120346.43</v>
      </c>
      <c r="D4" s="22">
        <v>0.13</v>
      </c>
      <c r="E4" s="22">
        <f t="shared" ref="E4:E30" si="0">+D4*C4*0.25</f>
        <v>361411.258975</v>
      </c>
      <c r="F4" s="28">
        <v>0</v>
      </c>
      <c r="G4" s="28">
        <f t="shared" ref="G4:G30" si="1">E4-((H3*0.25*F4))</f>
        <v>361411.258975</v>
      </c>
      <c r="H4" s="29">
        <f t="shared" ref="H4:H30" si="2">+H3-G4</f>
        <v>9461073.6820500009</v>
      </c>
    </row>
    <row r="5" spans="1:8" x14ac:dyDescent="0.2">
      <c r="A5" s="8">
        <v>40403</v>
      </c>
      <c r="B5" s="22">
        <v>361411.258975</v>
      </c>
      <c r="C5" s="22">
        <v>11120346.43</v>
      </c>
      <c r="D5" s="22">
        <v>0.13</v>
      </c>
      <c r="E5" s="22">
        <f t="shared" si="0"/>
        <v>361411.258975</v>
      </c>
      <c r="F5" s="28">
        <v>0</v>
      </c>
      <c r="G5" s="28">
        <f t="shared" si="1"/>
        <v>361411.258975</v>
      </c>
      <c r="H5" s="29">
        <f t="shared" si="2"/>
        <v>9099662.4230750017</v>
      </c>
    </row>
    <row r="6" spans="1:8" x14ac:dyDescent="0.2">
      <c r="A6" s="8">
        <v>40495</v>
      </c>
      <c r="B6" s="22">
        <v>361411.258975</v>
      </c>
      <c r="C6" s="22">
        <v>11120346.43</v>
      </c>
      <c r="D6" s="22">
        <v>0.13</v>
      </c>
      <c r="E6" s="22">
        <f t="shared" si="0"/>
        <v>361411.258975</v>
      </c>
      <c r="F6" s="28">
        <v>0</v>
      </c>
      <c r="G6" s="28">
        <f t="shared" si="1"/>
        <v>361411.258975</v>
      </c>
      <c r="H6" s="29">
        <f t="shared" si="2"/>
        <v>8738251.1641000025</v>
      </c>
    </row>
    <row r="7" spans="1:8" x14ac:dyDescent="0.2">
      <c r="A7" s="8">
        <v>40587</v>
      </c>
      <c r="B7" s="22">
        <v>361411.258975</v>
      </c>
      <c r="C7" s="22">
        <v>11120346.43</v>
      </c>
      <c r="D7" s="22">
        <v>0.13</v>
      </c>
      <c r="E7" s="22">
        <f t="shared" si="0"/>
        <v>361411.258975</v>
      </c>
      <c r="F7" s="28">
        <v>0</v>
      </c>
      <c r="G7" s="28">
        <f t="shared" si="1"/>
        <v>361411.258975</v>
      </c>
      <c r="H7" s="29">
        <f t="shared" si="2"/>
        <v>8376839.9051250024</v>
      </c>
    </row>
    <row r="8" spans="1:8" x14ac:dyDescent="0.2">
      <c r="A8" s="8">
        <v>40676</v>
      </c>
      <c r="B8" s="22">
        <v>361411.258975</v>
      </c>
      <c r="C8" s="22">
        <v>11120346.43</v>
      </c>
      <c r="D8" s="22">
        <v>0.13</v>
      </c>
      <c r="E8" s="22">
        <f t="shared" si="0"/>
        <v>361411.258975</v>
      </c>
      <c r="F8" s="28">
        <v>0</v>
      </c>
      <c r="G8" s="28">
        <f t="shared" si="1"/>
        <v>361411.258975</v>
      </c>
      <c r="H8" s="29">
        <f t="shared" si="2"/>
        <v>8015428.6461500023</v>
      </c>
    </row>
    <row r="9" spans="1:8" x14ac:dyDescent="0.2">
      <c r="A9" s="8">
        <v>40768</v>
      </c>
      <c r="B9" s="22">
        <v>361411.258975</v>
      </c>
      <c r="C9" s="22">
        <v>11120346.43</v>
      </c>
      <c r="D9" s="22">
        <v>0.13</v>
      </c>
      <c r="E9" s="22">
        <f t="shared" si="0"/>
        <v>361411.258975</v>
      </c>
      <c r="F9" s="28">
        <v>0</v>
      </c>
      <c r="G9" s="28">
        <f t="shared" si="1"/>
        <v>361411.258975</v>
      </c>
      <c r="H9" s="29">
        <f t="shared" si="2"/>
        <v>7654017.3871750021</v>
      </c>
    </row>
    <row r="10" spans="1:8" x14ac:dyDescent="0.2">
      <c r="A10" s="8">
        <v>40860</v>
      </c>
      <c r="B10" s="22">
        <v>361411.258975</v>
      </c>
      <c r="C10" s="22">
        <v>11120346.43</v>
      </c>
      <c r="D10" s="22">
        <v>0.13</v>
      </c>
      <c r="E10" s="22">
        <f t="shared" si="0"/>
        <v>361411.258975</v>
      </c>
      <c r="F10" s="28">
        <v>0</v>
      </c>
      <c r="G10" s="28">
        <f t="shared" si="1"/>
        <v>361411.258975</v>
      </c>
      <c r="H10" s="29">
        <f t="shared" si="2"/>
        <v>7292606.128200002</v>
      </c>
    </row>
    <row r="11" spans="1:8" x14ac:dyDescent="0.2">
      <c r="A11" s="8">
        <v>40952</v>
      </c>
      <c r="B11" s="22">
        <v>361411.258975</v>
      </c>
      <c r="C11" s="22">
        <v>11120346.43</v>
      </c>
      <c r="D11" s="22">
        <v>0.13</v>
      </c>
      <c r="E11" s="22">
        <f t="shared" si="0"/>
        <v>361411.258975</v>
      </c>
      <c r="F11" s="28">
        <v>0</v>
      </c>
      <c r="G11" s="28">
        <f t="shared" si="1"/>
        <v>361411.258975</v>
      </c>
      <c r="H11" s="29">
        <f t="shared" si="2"/>
        <v>6931194.8692250019</v>
      </c>
    </row>
    <row r="12" spans="1:8" x14ac:dyDescent="0.2">
      <c r="A12" s="8">
        <v>41042</v>
      </c>
      <c r="B12" s="22">
        <v>361411.258975</v>
      </c>
      <c r="C12" s="22">
        <v>11120346.43</v>
      </c>
      <c r="D12" s="22">
        <v>0.13</v>
      </c>
      <c r="E12" s="22">
        <f t="shared" si="0"/>
        <v>361411.258975</v>
      </c>
      <c r="F12" s="28">
        <v>0</v>
      </c>
      <c r="G12" s="28">
        <f t="shared" si="1"/>
        <v>361411.258975</v>
      </c>
      <c r="H12" s="29">
        <f t="shared" si="2"/>
        <v>6569783.6102500018</v>
      </c>
    </row>
    <row r="13" spans="1:8" x14ac:dyDescent="0.2">
      <c r="A13" s="8">
        <v>41134</v>
      </c>
      <c r="B13" s="22">
        <v>361411.258975</v>
      </c>
      <c r="C13" s="22">
        <v>11120346.43</v>
      </c>
      <c r="D13" s="22">
        <v>0.13</v>
      </c>
      <c r="E13" s="22">
        <f t="shared" si="0"/>
        <v>361411.258975</v>
      </c>
      <c r="F13" s="28">
        <v>0</v>
      </c>
      <c r="G13" s="28">
        <f t="shared" si="1"/>
        <v>361411.258975</v>
      </c>
      <c r="H13" s="29">
        <f t="shared" si="2"/>
        <v>6208372.3512750017</v>
      </c>
    </row>
    <row r="14" spans="1:8" x14ac:dyDescent="0.2">
      <c r="A14" s="8">
        <v>41226</v>
      </c>
      <c r="B14" s="22">
        <v>361411.258975</v>
      </c>
      <c r="C14" s="22">
        <v>11120346.43</v>
      </c>
      <c r="D14" s="22">
        <v>0.13</v>
      </c>
      <c r="E14" s="22">
        <f t="shared" si="0"/>
        <v>361411.258975</v>
      </c>
      <c r="F14" s="28">
        <v>0</v>
      </c>
      <c r="G14" s="28">
        <f t="shared" si="1"/>
        <v>361411.258975</v>
      </c>
      <c r="H14" s="29">
        <f t="shared" si="2"/>
        <v>5846961.0923000015</v>
      </c>
    </row>
    <row r="15" spans="1:8" x14ac:dyDescent="0.2">
      <c r="A15" s="8">
        <v>41318</v>
      </c>
      <c r="B15" s="22">
        <v>361411.258975</v>
      </c>
      <c r="C15" s="22">
        <v>11120346.43</v>
      </c>
      <c r="D15" s="22">
        <v>0.13</v>
      </c>
      <c r="E15" s="22">
        <f t="shared" si="0"/>
        <v>361411.258975</v>
      </c>
      <c r="F15" s="28">
        <v>0</v>
      </c>
      <c r="G15" s="28">
        <f t="shared" si="1"/>
        <v>361411.258975</v>
      </c>
      <c r="H15" s="29">
        <f t="shared" si="2"/>
        <v>5485549.8333250014</v>
      </c>
    </row>
    <row r="16" spans="1:8" x14ac:dyDescent="0.2">
      <c r="A16" s="8">
        <v>41407</v>
      </c>
      <c r="B16" s="22">
        <v>361411.258975</v>
      </c>
      <c r="C16" s="22">
        <v>11120346.43</v>
      </c>
      <c r="D16" s="22">
        <v>0.13</v>
      </c>
      <c r="E16" s="22">
        <f t="shared" si="0"/>
        <v>361411.258975</v>
      </c>
      <c r="F16" s="28">
        <v>0</v>
      </c>
      <c r="G16" s="28">
        <f t="shared" si="1"/>
        <v>361411.258975</v>
      </c>
      <c r="H16" s="29">
        <f t="shared" si="2"/>
        <v>5124138.5743500013</v>
      </c>
    </row>
    <row r="17" spans="1:8" x14ac:dyDescent="0.2">
      <c r="A17" s="8">
        <v>41499</v>
      </c>
      <c r="B17" s="22">
        <v>361411.258975</v>
      </c>
      <c r="C17" s="22">
        <v>11120346.43</v>
      </c>
      <c r="D17" s="22">
        <v>0.13</v>
      </c>
      <c r="E17" s="22">
        <f t="shared" si="0"/>
        <v>361411.258975</v>
      </c>
      <c r="F17" s="28">
        <v>0</v>
      </c>
      <c r="G17" s="28">
        <f t="shared" si="1"/>
        <v>361411.258975</v>
      </c>
      <c r="H17" s="29">
        <f t="shared" si="2"/>
        <v>4762727.3153750012</v>
      </c>
    </row>
    <row r="18" spans="1:8" x14ac:dyDescent="0.2">
      <c r="A18" s="8">
        <v>41591</v>
      </c>
      <c r="B18" s="22">
        <v>361411.258975</v>
      </c>
      <c r="C18" s="22">
        <v>11120346.43</v>
      </c>
      <c r="D18" s="22">
        <v>0.13</v>
      </c>
      <c r="E18" s="22">
        <f t="shared" si="0"/>
        <v>361411.258975</v>
      </c>
      <c r="F18" s="28">
        <v>0</v>
      </c>
      <c r="G18" s="28">
        <f t="shared" si="1"/>
        <v>361411.258975</v>
      </c>
      <c r="H18" s="29">
        <f t="shared" si="2"/>
        <v>4401316.056400001</v>
      </c>
    </row>
    <row r="19" spans="1:8" x14ac:dyDescent="0.2">
      <c r="A19" s="8">
        <v>41683</v>
      </c>
      <c r="B19" s="22">
        <v>361411.258975</v>
      </c>
      <c r="C19" s="22">
        <v>11120346.43</v>
      </c>
      <c r="D19" s="22">
        <v>0.13</v>
      </c>
      <c r="E19" s="22">
        <f t="shared" si="0"/>
        <v>361411.258975</v>
      </c>
      <c r="F19" s="28">
        <v>0</v>
      </c>
      <c r="G19" s="28">
        <f t="shared" si="1"/>
        <v>361411.258975</v>
      </c>
      <c r="H19" s="29">
        <f t="shared" si="2"/>
        <v>4039904.7974250009</v>
      </c>
    </row>
    <row r="20" spans="1:8" x14ac:dyDescent="0.2">
      <c r="A20" s="8">
        <v>41772</v>
      </c>
      <c r="B20" s="22">
        <v>361411.258975</v>
      </c>
      <c r="C20" s="22">
        <v>11120346.43</v>
      </c>
      <c r="D20" s="22">
        <v>0.13</v>
      </c>
      <c r="E20" s="22">
        <f t="shared" si="0"/>
        <v>361411.258975</v>
      </c>
      <c r="F20" s="28">
        <v>0</v>
      </c>
      <c r="G20" s="28">
        <f t="shared" si="1"/>
        <v>361411.258975</v>
      </c>
      <c r="H20" s="29">
        <f t="shared" si="2"/>
        <v>3678493.5384500008</v>
      </c>
    </row>
    <row r="21" spans="1:8" x14ac:dyDescent="0.2">
      <c r="A21" s="8">
        <v>41864</v>
      </c>
      <c r="B21" s="22">
        <v>361411.258975</v>
      </c>
      <c r="C21" s="22">
        <v>11120346.43</v>
      </c>
      <c r="D21" s="22">
        <v>0.13</v>
      </c>
      <c r="E21" s="22">
        <f t="shared" si="0"/>
        <v>361411.258975</v>
      </c>
      <c r="F21" s="28">
        <v>0</v>
      </c>
      <c r="G21" s="28">
        <f t="shared" si="1"/>
        <v>361411.258975</v>
      </c>
      <c r="H21" s="29">
        <f t="shared" si="2"/>
        <v>3317082.2794750007</v>
      </c>
    </row>
    <row r="22" spans="1:8" x14ac:dyDescent="0.2">
      <c r="A22" s="8">
        <v>41956</v>
      </c>
      <c r="B22" s="22">
        <v>361411.258975</v>
      </c>
      <c r="C22" s="22">
        <v>11120346.43</v>
      </c>
      <c r="D22" s="22">
        <v>0.13</v>
      </c>
      <c r="E22" s="22">
        <f t="shared" si="0"/>
        <v>361411.258975</v>
      </c>
      <c r="F22" s="28">
        <v>0</v>
      </c>
      <c r="G22" s="28">
        <f t="shared" si="1"/>
        <v>361411.258975</v>
      </c>
      <c r="H22" s="29">
        <f t="shared" si="2"/>
        <v>2955671.0205000006</v>
      </c>
    </row>
    <row r="23" spans="1:8" x14ac:dyDescent="0.2">
      <c r="A23" s="8">
        <v>42048</v>
      </c>
      <c r="B23" s="22">
        <v>361411.258975</v>
      </c>
      <c r="C23" s="22">
        <v>11120346.43</v>
      </c>
      <c r="D23" s="22">
        <v>0.13</v>
      </c>
      <c r="E23" s="22">
        <f t="shared" si="0"/>
        <v>361411.258975</v>
      </c>
      <c r="F23" s="28">
        <v>0</v>
      </c>
      <c r="G23" s="28">
        <f t="shared" si="1"/>
        <v>361411.258975</v>
      </c>
      <c r="H23" s="29">
        <f t="shared" si="2"/>
        <v>2594259.7615250004</v>
      </c>
    </row>
    <row r="24" spans="1:8" x14ac:dyDescent="0.2">
      <c r="A24" s="8">
        <v>42137</v>
      </c>
      <c r="B24" s="22">
        <v>361411.258975</v>
      </c>
      <c r="C24" s="22">
        <v>11120346.43</v>
      </c>
      <c r="D24" s="22">
        <v>0.13</v>
      </c>
      <c r="E24" s="22">
        <f t="shared" si="0"/>
        <v>361411.258975</v>
      </c>
      <c r="F24" s="28">
        <v>0</v>
      </c>
      <c r="G24" s="28">
        <f t="shared" si="1"/>
        <v>361411.258975</v>
      </c>
      <c r="H24" s="29">
        <f t="shared" si="2"/>
        <v>2232848.5025500003</v>
      </c>
    </row>
    <row r="25" spans="1:8" x14ac:dyDescent="0.2">
      <c r="A25" s="8">
        <v>42229</v>
      </c>
      <c r="B25" s="22">
        <v>361411.258975</v>
      </c>
      <c r="C25" s="22">
        <v>11120346.43</v>
      </c>
      <c r="D25" s="22">
        <v>0.13</v>
      </c>
      <c r="E25" s="22">
        <f t="shared" si="0"/>
        <v>361411.258975</v>
      </c>
      <c r="F25" s="28">
        <v>0</v>
      </c>
      <c r="G25" s="28">
        <f t="shared" si="1"/>
        <v>361411.258975</v>
      </c>
      <c r="H25" s="29">
        <f t="shared" si="2"/>
        <v>1871437.2435750002</v>
      </c>
    </row>
    <row r="26" spans="1:8" x14ac:dyDescent="0.2">
      <c r="A26" s="8">
        <v>42321</v>
      </c>
      <c r="B26" s="22">
        <v>361411.258975</v>
      </c>
      <c r="C26" s="22">
        <v>11120346.43</v>
      </c>
      <c r="D26" s="22">
        <v>0.13</v>
      </c>
      <c r="E26" s="22">
        <f t="shared" si="0"/>
        <v>361411.258975</v>
      </c>
      <c r="F26" s="28">
        <v>0</v>
      </c>
      <c r="G26" s="28">
        <f t="shared" si="1"/>
        <v>361411.258975</v>
      </c>
      <c r="H26" s="29">
        <f t="shared" si="2"/>
        <v>1510025.9846000001</v>
      </c>
    </row>
    <row r="27" spans="1:8" x14ac:dyDescent="0.2">
      <c r="A27" s="8">
        <v>42413</v>
      </c>
      <c r="B27" s="22">
        <v>361411.258975</v>
      </c>
      <c r="C27" s="22">
        <v>11120346.43</v>
      </c>
      <c r="D27" s="22">
        <v>0.13</v>
      </c>
      <c r="E27" s="22">
        <f t="shared" si="0"/>
        <v>361411.258975</v>
      </c>
      <c r="F27" s="28">
        <v>0</v>
      </c>
      <c r="G27" s="28">
        <f t="shared" si="1"/>
        <v>361411.258975</v>
      </c>
      <c r="H27" s="29">
        <f t="shared" si="2"/>
        <v>1148614.725625</v>
      </c>
    </row>
    <row r="28" spans="1:8" x14ac:dyDescent="0.2">
      <c r="A28" s="8">
        <v>42503</v>
      </c>
      <c r="B28" s="22">
        <v>361411.258975</v>
      </c>
      <c r="C28" s="22">
        <v>11120346.43</v>
      </c>
      <c r="D28" s="22">
        <v>0.13</v>
      </c>
      <c r="E28" s="22">
        <f t="shared" si="0"/>
        <v>361411.258975</v>
      </c>
      <c r="F28" s="28">
        <v>0</v>
      </c>
      <c r="G28" s="28">
        <f t="shared" si="1"/>
        <v>361411.258975</v>
      </c>
      <c r="H28" s="29">
        <f t="shared" si="2"/>
        <v>787203.46664999996</v>
      </c>
    </row>
    <row r="29" spans="1:8" x14ac:dyDescent="0.2">
      <c r="A29" s="8">
        <v>42595</v>
      </c>
      <c r="B29" s="22">
        <v>361411.258975</v>
      </c>
      <c r="C29" s="22">
        <v>11120346.43</v>
      </c>
      <c r="D29" s="22">
        <v>0.13</v>
      </c>
      <c r="E29" s="22">
        <f t="shared" si="0"/>
        <v>361411.258975</v>
      </c>
      <c r="F29" s="28">
        <v>0</v>
      </c>
      <c r="G29" s="28">
        <f t="shared" si="1"/>
        <v>361411.258975</v>
      </c>
      <c r="H29" s="29">
        <f t="shared" si="2"/>
        <v>425792.20767499995</v>
      </c>
    </row>
    <row r="30" spans="1:8" x14ac:dyDescent="0.2">
      <c r="A30" s="8">
        <v>42687</v>
      </c>
      <c r="B30" s="22">
        <f>+B29</f>
        <v>361411.258975</v>
      </c>
      <c r="C30" s="22">
        <v>11120346.43</v>
      </c>
      <c r="D30" s="22">
        <v>0.13</v>
      </c>
      <c r="E30" s="22">
        <f t="shared" si="0"/>
        <v>361411.258975</v>
      </c>
      <c r="F30" s="28">
        <v>0</v>
      </c>
      <c r="G30" s="28">
        <f t="shared" si="1"/>
        <v>361411.258975</v>
      </c>
      <c r="H30" s="29">
        <f t="shared" si="2"/>
        <v>64380.94869999995</v>
      </c>
    </row>
    <row r="33" spans="2:7" x14ac:dyDescent="0.2">
      <c r="B33" s="13"/>
      <c r="C33" s="13"/>
      <c r="D33" s="13"/>
      <c r="E33" s="13"/>
    </row>
    <row r="34" spans="2:7" x14ac:dyDescent="0.2">
      <c r="B34" s="2"/>
      <c r="C34" s="2"/>
      <c r="D34" s="2"/>
      <c r="E34" s="2"/>
      <c r="F34" t="s">
        <v>33</v>
      </c>
      <c r="G34" s="2">
        <f>H30-C2</f>
        <v>-11055965.4813</v>
      </c>
    </row>
    <row r="36" spans="2:7" x14ac:dyDescent="0.2">
      <c r="F36" t="s">
        <v>34</v>
      </c>
      <c r="G36">
        <v>0.01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H36"/>
  <sheetViews>
    <sheetView topLeftCell="B1" workbookViewId="0">
      <selection activeCell="K18" sqref="K18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5" width="14.5703125" customWidth="1"/>
    <col min="6" max="6" width="13.42578125" customWidth="1"/>
    <col min="7" max="7" width="14.85546875" customWidth="1"/>
    <col min="8" max="8" width="13.42578125" customWidth="1"/>
  </cols>
  <sheetData>
    <row r="1" spans="1:8" x14ac:dyDescent="0.2">
      <c r="A1" s="7" t="s">
        <v>13</v>
      </c>
      <c r="B1" s="7" t="s">
        <v>0</v>
      </c>
      <c r="C1" s="7" t="s">
        <v>15</v>
      </c>
      <c r="D1" s="7" t="s">
        <v>30</v>
      </c>
      <c r="E1" s="7" t="s">
        <v>32</v>
      </c>
      <c r="F1" s="7" t="s">
        <v>31</v>
      </c>
      <c r="G1" s="7" t="s">
        <v>27</v>
      </c>
      <c r="H1" s="7" t="s">
        <v>25</v>
      </c>
    </row>
    <row r="2" spans="1:8" x14ac:dyDescent="0.2">
      <c r="A2" s="8">
        <v>40130</v>
      </c>
      <c r="B2" s="1">
        <v>-10183896.199999999</v>
      </c>
      <c r="C2" s="1">
        <v>11120346.43</v>
      </c>
      <c r="D2" s="1">
        <v>0.13</v>
      </c>
      <c r="E2" s="1" t="s">
        <v>1</v>
      </c>
      <c r="F2" s="28">
        <v>1.2500000000000001E-2</v>
      </c>
      <c r="G2" s="28"/>
      <c r="H2" s="29">
        <f>+B2*-1</f>
        <v>10183896.199999999</v>
      </c>
    </row>
    <row r="3" spans="1:8" x14ac:dyDescent="0.2">
      <c r="A3" s="8">
        <v>40222</v>
      </c>
      <c r="B3" s="1">
        <v>361411.258975</v>
      </c>
      <c r="C3" s="1">
        <v>11120346.43</v>
      </c>
      <c r="D3" s="1">
        <v>0.13</v>
      </c>
      <c r="E3" s="1">
        <f>+D3*C3*0.25</f>
        <v>361411.258975</v>
      </c>
      <c r="F3" s="28">
        <v>1.2500000000000001E-2</v>
      </c>
      <c r="G3" s="28">
        <f>E3-((H2*0.25*F3))</f>
        <v>329586.58335000003</v>
      </c>
      <c r="H3" s="29">
        <f>+H2-G3</f>
        <v>9854309.6166499984</v>
      </c>
    </row>
    <row r="4" spans="1:8" x14ac:dyDescent="0.2">
      <c r="A4" s="8">
        <v>40311</v>
      </c>
      <c r="B4" s="1">
        <v>361411.258975</v>
      </c>
      <c r="C4" s="1">
        <v>11120346.43</v>
      </c>
      <c r="D4" s="1">
        <v>0.13</v>
      </c>
      <c r="E4" s="1">
        <f t="shared" ref="E4:E30" si="0">+D4*C4*0.25</f>
        <v>361411.258975</v>
      </c>
      <c r="F4" s="28">
        <v>1.2500000000000001E-2</v>
      </c>
      <c r="G4" s="28">
        <f t="shared" ref="G4:G30" si="1">E4-((H3*0.25*F4))</f>
        <v>330616.54142296873</v>
      </c>
      <c r="H4" s="29">
        <f t="shared" ref="H4:H30" si="2">+H3-G4</f>
        <v>9523693.0752270296</v>
      </c>
    </row>
    <row r="5" spans="1:8" x14ac:dyDescent="0.2">
      <c r="A5" s="8">
        <v>40403</v>
      </c>
      <c r="B5" s="1">
        <v>361411.258975</v>
      </c>
      <c r="C5" s="1">
        <v>11120346.43</v>
      </c>
      <c r="D5" s="1">
        <v>0.13</v>
      </c>
      <c r="E5" s="1">
        <f t="shared" si="0"/>
        <v>361411.258975</v>
      </c>
      <c r="F5" s="28">
        <v>1.2500000000000001E-2</v>
      </c>
      <c r="G5" s="28">
        <f t="shared" si="1"/>
        <v>331649.71811491554</v>
      </c>
      <c r="H5" s="29">
        <f t="shared" si="2"/>
        <v>9192043.3571121134</v>
      </c>
    </row>
    <row r="6" spans="1:8" x14ac:dyDescent="0.2">
      <c r="A6" s="8">
        <v>40495</v>
      </c>
      <c r="B6" s="1">
        <v>361411.258975</v>
      </c>
      <c r="C6" s="1">
        <v>11120346.43</v>
      </c>
      <c r="D6" s="1">
        <v>0.13</v>
      </c>
      <c r="E6" s="1">
        <f t="shared" si="0"/>
        <v>361411.258975</v>
      </c>
      <c r="F6" s="28">
        <v>1.2500000000000001E-2</v>
      </c>
      <c r="G6" s="28">
        <f t="shared" si="1"/>
        <v>332686.12348402466</v>
      </c>
      <c r="H6" s="29">
        <f t="shared" si="2"/>
        <v>8859357.2336280886</v>
      </c>
    </row>
    <row r="7" spans="1:8" x14ac:dyDescent="0.2">
      <c r="A7" s="8">
        <v>40587</v>
      </c>
      <c r="B7" s="1">
        <v>361411.258975</v>
      </c>
      <c r="C7" s="1">
        <v>11120346.43</v>
      </c>
      <c r="D7" s="1">
        <v>0.13</v>
      </c>
      <c r="E7" s="1">
        <f t="shared" si="0"/>
        <v>361411.258975</v>
      </c>
      <c r="F7" s="28">
        <v>1.2500000000000001E-2</v>
      </c>
      <c r="G7" s="28">
        <f t="shared" si="1"/>
        <v>333725.76761991222</v>
      </c>
      <c r="H7" s="29">
        <f t="shared" si="2"/>
        <v>8525631.466008177</v>
      </c>
    </row>
    <row r="8" spans="1:8" x14ac:dyDescent="0.2">
      <c r="A8" s="8">
        <v>40676</v>
      </c>
      <c r="B8" s="1">
        <v>361411.258975</v>
      </c>
      <c r="C8" s="1">
        <v>11120346.43</v>
      </c>
      <c r="D8" s="1">
        <v>0.13</v>
      </c>
      <c r="E8" s="1">
        <f t="shared" si="0"/>
        <v>361411.258975</v>
      </c>
      <c r="F8" s="28">
        <v>1.2500000000000001E-2</v>
      </c>
      <c r="G8" s="28">
        <f t="shared" si="1"/>
        <v>334768.66064372443</v>
      </c>
      <c r="H8" s="29">
        <f t="shared" si="2"/>
        <v>8190862.8053644523</v>
      </c>
    </row>
    <row r="9" spans="1:8" x14ac:dyDescent="0.2">
      <c r="A9" s="8">
        <v>40768</v>
      </c>
      <c r="B9" s="1">
        <v>361411.258975</v>
      </c>
      <c r="C9" s="1">
        <v>11120346.43</v>
      </c>
      <c r="D9" s="1">
        <v>0.13</v>
      </c>
      <c r="E9" s="1">
        <f t="shared" si="0"/>
        <v>361411.258975</v>
      </c>
      <c r="F9" s="28">
        <v>1.2500000000000001E-2</v>
      </c>
      <c r="G9" s="28">
        <f t="shared" si="1"/>
        <v>335814.8127082361</v>
      </c>
      <c r="H9" s="29">
        <f t="shared" si="2"/>
        <v>7855047.992656216</v>
      </c>
    </row>
    <row r="10" spans="1:8" x14ac:dyDescent="0.2">
      <c r="A10" s="8">
        <v>40860</v>
      </c>
      <c r="B10" s="1">
        <v>361411.258975</v>
      </c>
      <c r="C10" s="1">
        <v>11120346.43</v>
      </c>
      <c r="D10" s="1">
        <v>0.13</v>
      </c>
      <c r="E10" s="1">
        <f t="shared" si="0"/>
        <v>361411.258975</v>
      </c>
      <c r="F10" s="28">
        <v>1.2500000000000001E-2</v>
      </c>
      <c r="G10" s="28">
        <f t="shared" si="1"/>
        <v>336864.23399794934</v>
      </c>
      <c r="H10" s="29">
        <f t="shared" si="2"/>
        <v>7518183.7586582666</v>
      </c>
    </row>
    <row r="11" spans="1:8" x14ac:dyDescent="0.2">
      <c r="A11" s="8">
        <v>40952</v>
      </c>
      <c r="B11" s="1">
        <v>361411.258975</v>
      </c>
      <c r="C11" s="1">
        <v>11120346.43</v>
      </c>
      <c r="D11" s="1">
        <v>0.13</v>
      </c>
      <c r="E11" s="1">
        <f t="shared" si="0"/>
        <v>361411.258975</v>
      </c>
      <c r="F11" s="28">
        <v>1.2500000000000001E-2</v>
      </c>
      <c r="G11" s="28">
        <f t="shared" si="1"/>
        <v>337916.93472919293</v>
      </c>
      <c r="H11" s="29">
        <f t="shared" si="2"/>
        <v>7180266.8239290733</v>
      </c>
    </row>
    <row r="12" spans="1:8" x14ac:dyDescent="0.2">
      <c r="A12" s="8">
        <v>41042</v>
      </c>
      <c r="B12" s="1">
        <v>361411.258975</v>
      </c>
      <c r="C12" s="1">
        <v>11120346.43</v>
      </c>
      <c r="D12" s="1">
        <v>0.13</v>
      </c>
      <c r="E12" s="1">
        <f t="shared" si="0"/>
        <v>361411.258975</v>
      </c>
      <c r="F12" s="28">
        <v>1.2500000000000001E-2</v>
      </c>
      <c r="G12" s="28">
        <f t="shared" si="1"/>
        <v>338972.92515022168</v>
      </c>
      <c r="H12" s="29">
        <f t="shared" si="2"/>
        <v>6841293.8987788521</v>
      </c>
    </row>
    <row r="13" spans="1:8" x14ac:dyDescent="0.2">
      <c r="A13" s="8">
        <v>41134</v>
      </c>
      <c r="B13" s="1">
        <v>361411.258975</v>
      </c>
      <c r="C13" s="1">
        <v>11120346.43</v>
      </c>
      <c r="D13" s="1">
        <v>0.13</v>
      </c>
      <c r="E13" s="1">
        <f t="shared" si="0"/>
        <v>361411.258975</v>
      </c>
      <c r="F13" s="28">
        <v>1.2500000000000001E-2</v>
      </c>
      <c r="G13" s="28">
        <f t="shared" si="1"/>
        <v>340032.21554131608</v>
      </c>
      <c r="H13" s="29">
        <f t="shared" si="2"/>
        <v>6501261.6832375359</v>
      </c>
    </row>
    <row r="14" spans="1:8" x14ac:dyDescent="0.2">
      <c r="A14" s="8">
        <v>41226</v>
      </c>
      <c r="B14" s="1">
        <v>361411.258975</v>
      </c>
      <c r="C14" s="1">
        <v>11120346.43</v>
      </c>
      <c r="D14" s="1">
        <v>0.13</v>
      </c>
      <c r="E14" s="1">
        <f t="shared" si="0"/>
        <v>361411.258975</v>
      </c>
      <c r="F14" s="28">
        <v>1.2500000000000001E-2</v>
      </c>
      <c r="G14" s="28">
        <f t="shared" si="1"/>
        <v>341094.81621488271</v>
      </c>
      <c r="H14" s="29">
        <f t="shared" si="2"/>
        <v>6160166.8670226531</v>
      </c>
    </row>
    <row r="15" spans="1:8" x14ac:dyDescent="0.2">
      <c r="A15" s="8">
        <v>41318</v>
      </c>
      <c r="B15" s="1">
        <v>361411.258975</v>
      </c>
      <c r="C15" s="1">
        <v>11120346.43</v>
      </c>
      <c r="D15" s="1">
        <v>0.13</v>
      </c>
      <c r="E15" s="1">
        <f t="shared" si="0"/>
        <v>361411.258975</v>
      </c>
      <c r="F15" s="28">
        <v>1.2500000000000001E-2</v>
      </c>
      <c r="G15" s="28">
        <f t="shared" si="1"/>
        <v>342160.73751555424</v>
      </c>
      <c r="H15" s="29">
        <f t="shared" si="2"/>
        <v>5818006.1295070993</v>
      </c>
    </row>
    <row r="16" spans="1:8" x14ac:dyDescent="0.2">
      <c r="A16" s="8">
        <v>41407</v>
      </c>
      <c r="B16" s="1">
        <v>361411.258975</v>
      </c>
      <c r="C16" s="1">
        <v>11120346.43</v>
      </c>
      <c r="D16" s="1">
        <v>0.13</v>
      </c>
      <c r="E16" s="1">
        <f t="shared" si="0"/>
        <v>361411.258975</v>
      </c>
      <c r="F16" s="28">
        <v>1.2500000000000001E-2</v>
      </c>
      <c r="G16" s="28">
        <f t="shared" si="1"/>
        <v>343229.9898202903</v>
      </c>
      <c r="H16" s="29">
        <f t="shared" si="2"/>
        <v>5474776.1396868089</v>
      </c>
    </row>
    <row r="17" spans="1:8" x14ac:dyDescent="0.2">
      <c r="A17" s="8">
        <v>41499</v>
      </c>
      <c r="B17" s="1">
        <v>361411.258975</v>
      </c>
      <c r="C17" s="1">
        <v>11120346.43</v>
      </c>
      <c r="D17" s="1">
        <v>0.13</v>
      </c>
      <c r="E17" s="1">
        <f t="shared" si="0"/>
        <v>361411.258975</v>
      </c>
      <c r="F17" s="28">
        <v>1.2500000000000001E-2</v>
      </c>
      <c r="G17" s="28">
        <f t="shared" si="1"/>
        <v>344302.58353847871</v>
      </c>
      <c r="H17" s="29">
        <f t="shared" si="2"/>
        <v>5130473.5561483297</v>
      </c>
    </row>
    <row r="18" spans="1:8" x14ac:dyDescent="0.2">
      <c r="A18" s="8">
        <v>41591</v>
      </c>
      <c r="B18" s="1">
        <v>361411.258975</v>
      </c>
      <c r="C18" s="1">
        <v>11120346.43</v>
      </c>
      <c r="D18" s="1">
        <v>0.13</v>
      </c>
      <c r="E18" s="1">
        <f t="shared" si="0"/>
        <v>361411.258975</v>
      </c>
      <c r="F18" s="28">
        <v>1.2500000000000001E-2</v>
      </c>
      <c r="G18" s="28">
        <f t="shared" si="1"/>
        <v>345378.52911203646</v>
      </c>
      <c r="H18" s="29">
        <f t="shared" si="2"/>
        <v>4785095.0270362934</v>
      </c>
    </row>
    <row r="19" spans="1:8" x14ac:dyDescent="0.2">
      <c r="A19" s="8">
        <v>41683</v>
      </c>
      <c r="B19" s="1">
        <v>361411.258975</v>
      </c>
      <c r="C19" s="1">
        <v>11120346.43</v>
      </c>
      <c r="D19" s="1">
        <v>0.13</v>
      </c>
      <c r="E19" s="1">
        <f t="shared" si="0"/>
        <v>361411.258975</v>
      </c>
      <c r="F19" s="28">
        <v>1.2500000000000001E-2</v>
      </c>
      <c r="G19" s="28">
        <f t="shared" si="1"/>
        <v>346457.83701551158</v>
      </c>
      <c r="H19" s="29">
        <f t="shared" si="2"/>
        <v>4438637.1900207819</v>
      </c>
    </row>
    <row r="20" spans="1:8" x14ac:dyDescent="0.2">
      <c r="A20" s="8">
        <v>41772</v>
      </c>
      <c r="B20" s="1">
        <v>361411.258975</v>
      </c>
      <c r="C20" s="1">
        <v>11120346.43</v>
      </c>
      <c r="D20" s="1">
        <v>0.13</v>
      </c>
      <c r="E20" s="1">
        <f t="shared" si="0"/>
        <v>361411.258975</v>
      </c>
      <c r="F20" s="28">
        <v>1.2500000000000001E-2</v>
      </c>
      <c r="G20" s="28">
        <f t="shared" si="1"/>
        <v>347540.51775618509</v>
      </c>
      <c r="H20" s="29">
        <f t="shared" si="2"/>
        <v>4091096.6722645969</v>
      </c>
    </row>
    <row r="21" spans="1:8" x14ac:dyDescent="0.2">
      <c r="A21" s="8">
        <v>41864</v>
      </c>
      <c r="B21" s="1">
        <v>361411.258975</v>
      </c>
      <c r="C21" s="1">
        <v>11120346.43</v>
      </c>
      <c r="D21" s="1">
        <v>0.13</v>
      </c>
      <c r="E21" s="1">
        <f t="shared" si="0"/>
        <v>361411.258975</v>
      </c>
      <c r="F21" s="28">
        <v>1.2500000000000001E-2</v>
      </c>
      <c r="G21" s="28">
        <f t="shared" si="1"/>
        <v>348626.58187417313</v>
      </c>
      <c r="H21" s="29">
        <f t="shared" si="2"/>
        <v>3742470.0903904238</v>
      </c>
    </row>
    <row r="22" spans="1:8" x14ac:dyDescent="0.2">
      <c r="A22" s="8">
        <v>41956</v>
      </c>
      <c r="B22" s="1">
        <v>361411.258975</v>
      </c>
      <c r="C22" s="1">
        <v>11120346.43</v>
      </c>
      <c r="D22" s="1">
        <v>0.13</v>
      </c>
      <c r="E22" s="1">
        <f t="shared" si="0"/>
        <v>361411.258975</v>
      </c>
      <c r="F22" s="28">
        <v>1.2500000000000001E-2</v>
      </c>
      <c r="G22" s="28">
        <f t="shared" si="1"/>
        <v>349716.03994252993</v>
      </c>
      <c r="H22" s="29">
        <f t="shared" si="2"/>
        <v>3392754.0504478938</v>
      </c>
    </row>
    <row r="23" spans="1:8" x14ac:dyDescent="0.2">
      <c r="A23" s="8">
        <v>42048</v>
      </c>
      <c r="B23" s="1">
        <v>361411.258975</v>
      </c>
      <c r="C23" s="1">
        <v>11120346.43</v>
      </c>
      <c r="D23" s="1">
        <v>0.13</v>
      </c>
      <c r="E23" s="1">
        <f t="shared" si="0"/>
        <v>361411.258975</v>
      </c>
      <c r="F23" s="28">
        <v>1.2500000000000001E-2</v>
      </c>
      <c r="G23" s="28">
        <f t="shared" si="1"/>
        <v>350808.90256735031</v>
      </c>
      <c r="H23" s="29">
        <f t="shared" si="2"/>
        <v>3041945.1478805435</v>
      </c>
    </row>
    <row r="24" spans="1:8" x14ac:dyDescent="0.2">
      <c r="A24" s="8">
        <v>42137</v>
      </c>
      <c r="B24" s="1">
        <v>361411.258975</v>
      </c>
      <c r="C24" s="1">
        <v>11120346.43</v>
      </c>
      <c r="D24" s="1">
        <v>0.13</v>
      </c>
      <c r="E24" s="1">
        <f t="shared" si="0"/>
        <v>361411.258975</v>
      </c>
      <c r="F24" s="28">
        <v>1.2500000000000001E-2</v>
      </c>
      <c r="G24" s="28">
        <f t="shared" si="1"/>
        <v>351905.18038787332</v>
      </c>
      <c r="H24" s="29">
        <f t="shared" si="2"/>
        <v>2690039.9674926703</v>
      </c>
    </row>
    <row r="25" spans="1:8" x14ac:dyDescent="0.2">
      <c r="A25" s="8">
        <v>42229</v>
      </c>
      <c r="B25" s="1">
        <v>361411.258975</v>
      </c>
      <c r="C25" s="1">
        <v>11120346.43</v>
      </c>
      <c r="D25" s="1">
        <v>0.13</v>
      </c>
      <c r="E25" s="1">
        <f t="shared" si="0"/>
        <v>361411.258975</v>
      </c>
      <c r="F25" s="28">
        <v>1.2500000000000001E-2</v>
      </c>
      <c r="G25" s="28">
        <f t="shared" si="1"/>
        <v>353004.88407658541</v>
      </c>
      <c r="H25" s="29">
        <f t="shared" si="2"/>
        <v>2337035.0834160848</v>
      </c>
    </row>
    <row r="26" spans="1:8" x14ac:dyDescent="0.2">
      <c r="A26" s="8">
        <v>42321</v>
      </c>
      <c r="B26" s="1">
        <v>361411.258975</v>
      </c>
      <c r="C26" s="1">
        <v>11120346.43</v>
      </c>
      <c r="D26" s="1">
        <v>0.13</v>
      </c>
      <c r="E26" s="1">
        <f t="shared" si="0"/>
        <v>361411.258975</v>
      </c>
      <c r="F26" s="28">
        <v>1.2500000000000001E-2</v>
      </c>
      <c r="G26" s="28">
        <f t="shared" si="1"/>
        <v>354108.02433932474</v>
      </c>
      <c r="H26" s="29">
        <f t="shared" si="2"/>
        <v>1982927.05907676</v>
      </c>
    </row>
    <row r="27" spans="1:8" x14ac:dyDescent="0.2">
      <c r="A27" s="8">
        <v>42413</v>
      </c>
      <c r="B27" s="1">
        <v>361411.258975</v>
      </c>
      <c r="C27" s="1">
        <v>11120346.43</v>
      </c>
      <c r="D27" s="1">
        <v>0.13</v>
      </c>
      <c r="E27" s="1">
        <f t="shared" si="0"/>
        <v>361411.258975</v>
      </c>
      <c r="F27" s="28">
        <v>1.2500000000000001E-2</v>
      </c>
      <c r="G27" s="28">
        <f t="shared" si="1"/>
        <v>355214.61191538512</v>
      </c>
      <c r="H27" s="29">
        <f t="shared" si="2"/>
        <v>1627712.4471613748</v>
      </c>
    </row>
    <row r="28" spans="1:8" x14ac:dyDescent="0.2">
      <c r="A28" s="8">
        <v>42503</v>
      </c>
      <c r="B28" s="1">
        <v>361411.258975</v>
      </c>
      <c r="C28" s="1">
        <v>11120346.43</v>
      </c>
      <c r="D28" s="1">
        <v>0.13</v>
      </c>
      <c r="E28" s="1">
        <f t="shared" si="0"/>
        <v>361411.258975</v>
      </c>
      <c r="F28" s="28">
        <v>1.2500000000000001E-2</v>
      </c>
      <c r="G28" s="28">
        <f t="shared" si="1"/>
        <v>356324.6575776207</v>
      </c>
      <c r="H28" s="29">
        <f t="shared" si="2"/>
        <v>1271387.7895837543</v>
      </c>
    </row>
    <row r="29" spans="1:8" x14ac:dyDescent="0.2">
      <c r="A29" s="8">
        <v>42595</v>
      </c>
      <c r="B29" s="1">
        <v>361411.258975</v>
      </c>
      <c r="C29" s="1">
        <v>11120346.43</v>
      </c>
      <c r="D29" s="1">
        <v>0.13</v>
      </c>
      <c r="E29" s="1">
        <f t="shared" si="0"/>
        <v>361411.258975</v>
      </c>
      <c r="F29" s="28">
        <v>1.2500000000000001E-2</v>
      </c>
      <c r="G29" s="28">
        <f t="shared" si="1"/>
        <v>357438.1721325508</v>
      </c>
      <c r="H29" s="29">
        <f t="shared" si="2"/>
        <v>913949.61745120352</v>
      </c>
    </row>
    <row r="30" spans="1:8" x14ac:dyDescent="0.2">
      <c r="A30" s="8">
        <v>42687</v>
      </c>
      <c r="B30" s="1">
        <f>+B29</f>
        <v>361411.258975</v>
      </c>
      <c r="C30" s="1">
        <v>11120346.43</v>
      </c>
      <c r="D30" s="1">
        <v>0.13</v>
      </c>
      <c r="E30" s="1">
        <f t="shared" si="0"/>
        <v>361411.258975</v>
      </c>
      <c r="F30" s="28">
        <v>1.2500000000000001E-2</v>
      </c>
      <c r="G30" s="28">
        <f t="shared" si="1"/>
        <v>358555.16642046499</v>
      </c>
      <c r="H30" s="29">
        <f t="shared" si="2"/>
        <v>555394.45103073854</v>
      </c>
    </row>
    <row r="33" spans="2:7" x14ac:dyDescent="0.2">
      <c r="B33" s="13"/>
      <c r="C33" s="13"/>
      <c r="D33" s="13"/>
      <c r="E33" s="13"/>
    </row>
    <row r="34" spans="2:7" x14ac:dyDescent="0.2">
      <c r="B34" s="2"/>
      <c r="C34" s="2"/>
      <c r="D34" s="2"/>
      <c r="E34" s="2"/>
      <c r="F34" t="s">
        <v>33</v>
      </c>
      <c r="G34" s="2">
        <f>H30-C2</f>
        <v>-10564951.978969261</v>
      </c>
    </row>
    <row r="36" spans="2:7" x14ac:dyDescent="0.2">
      <c r="F36" t="s">
        <v>34</v>
      </c>
      <c r="G36">
        <v>0.01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H36"/>
  <sheetViews>
    <sheetView workbookViewId="0">
      <selection activeCell="H18" sqref="H18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5" width="14.5703125" customWidth="1"/>
    <col min="6" max="6" width="13.42578125" customWidth="1"/>
    <col min="7" max="7" width="14.85546875" customWidth="1"/>
    <col min="8" max="8" width="13.42578125" customWidth="1"/>
  </cols>
  <sheetData>
    <row r="1" spans="1:8" x14ac:dyDescent="0.2">
      <c r="A1" s="7" t="s">
        <v>13</v>
      </c>
      <c r="B1" s="7" t="s">
        <v>0</v>
      </c>
      <c r="C1" s="7" t="s">
        <v>15</v>
      </c>
      <c r="D1" s="7" t="s">
        <v>30</v>
      </c>
      <c r="E1" s="7" t="s">
        <v>32</v>
      </c>
      <c r="F1" s="7" t="s">
        <v>31</v>
      </c>
      <c r="G1" s="7" t="s">
        <v>27</v>
      </c>
      <c r="H1" s="7" t="s">
        <v>25</v>
      </c>
    </row>
    <row r="2" spans="1:8" x14ac:dyDescent="0.2">
      <c r="A2" s="8">
        <v>40130</v>
      </c>
      <c r="B2" s="1">
        <v>-10183896.199999999</v>
      </c>
      <c r="C2" s="1">
        <v>11120346.43</v>
      </c>
      <c r="D2" s="1">
        <v>0.13</v>
      </c>
      <c r="E2" s="1" t="s">
        <v>1</v>
      </c>
      <c r="F2" s="28">
        <v>8.7499999999999994E-2</v>
      </c>
      <c r="G2" s="28"/>
      <c r="H2" s="29">
        <f>+B2*-1</f>
        <v>10183896.199999999</v>
      </c>
    </row>
    <row r="3" spans="1:8" x14ac:dyDescent="0.2">
      <c r="A3" s="8">
        <v>40222</v>
      </c>
      <c r="B3" s="1">
        <v>361411.258975</v>
      </c>
      <c r="C3" s="1">
        <v>11120346.43</v>
      </c>
      <c r="D3" s="1">
        <v>0.13</v>
      </c>
      <c r="E3" s="1">
        <f>+D3*C3*0.25</f>
        <v>361411.258975</v>
      </c>
      <c r="F3" s="28">
        <v>8.7499999999999994E-2</v>
      </c>
      <c r="G3" s="28">
        <f>E3-((H2*0.25*F3))</f>
        <v>138638.52960000004</v>
      </c>
      <c r="H3" s="29">
        <f>+H2-G3</f>
        <v>10045257.670399999</v>
      </c>
    </row>
    <row r="4" spans="1:8" x14ac:dyDescent="0.2">
      <c r="A4" s="8">
        <v>40311</v>
      </c>
      <c r="B4" s="1">
        <v>361411.258975</v>
      </c>
      <c r="C4" s="1">
        <v>11120346.43</v>
      </c>
      <c r="D4" s="1">
        <v>0.13</v>
      </c>
      <c r="E4" s="1">
        <f t="shared" ref="E4:E30" si="0">+D4*C4*0.25</f>
        <v>361411.258975</v>
      </c>
      <c r="F4" s="28">
        <v>8.7499999999999994E-2</v>
      </c>
      <c r="G4" s="28">
        <f t="shared" ref="G4:G30" si="1">E4-((H3*0.25*F4))</f>
        <v>141671.24743500003</v>
      </c>
      <c r="H4" s="29">
        <f t="shared" ref="H4:H30" si="2">+H3-G4</f>
        <v>9903586.4229649995</v>
      </c>
    </row>
    <row r="5" spans="1:8" x14ac:dyDescent="0.2">
      <c r="A5" s="8">
        <v>40403</v>
      </c>
      <c r="B5" s="1">
        <v>361411.258975</v>
      </c>
      <c r="C5" s="1">
        <v>11120346.43</v>
      </c>
      <c r="D5" s="1">
        <v>0.13</v>
      </c>
      <c r="E5" s="1">
        <f t="shared" si="0"/>
        <v>361411.258975</v>
      </c>
      <c r="F5" s="28">
        <v>8.7499999999999994E-2</v>
      </c>
      <c r="G5" s="28">
        <f t="shared" si="1"/>
        <v>144770.30597264066</v>
      </c>
      <c r="H5" s="29">
        <f t="shared" si="2"/>
        <v>9758816.1169923581</v>
      </c>
    </row>
    <row r="6" spans="1:8" x14ac:dyDescent="0.2">
      <c r="A6" s="8">
        <v>40495</v>
      </c>
      <c r="B6" s="1">
        <v>361411.258975</v>
      </c>
      <c r="C6" s="1">
        <v>11120346.43</v>
      </c>
      <c r="D6" s="1">
        <v>0.13</v>
      </c>
      <c r="E6" s="1">
        <f t="shared" si="0"/>
        <v>361411.258975</v>
      </c>
      <c r="F6" s="28">
        <v>8.7499999999999994E-2</v>
      </c>
      <c r="G6" s="28">
        <f t="shared" si="1"/>
        <v>147937.15641579218</v>
      </c>
      <c r="H6" s="29">
        <f t="shared" si="2"/>
        <v>9610878.9605765659</v>
      </c>
    </row>
    <row r="7" spans="1:8" x14ac:dyDescent="0.2">
      <c r="A7" s="8">
        <v>40587</v>
      </c>
      <c r="B7" s="1">
        <v>361411.258975</v>
      </c>
      <c r="C7" s="1">
        <v>11120346.43</v>
      </c>
      <c r="D7" s="1">
        <v>0.13</v>
      </c>
      <c r="E7" s="1">
        <f t="shared" si="0"/>
        <v>361411.258975</v>
      </c>
      <c r="F7" s="28">
        <v>8.7499999999999994E-2</v>
      </c>
      <c r="G7" s="28">
        <f t="shared" si="1"/>
        <v>151173.28171238763</v>
      </c>
      <c r="H7" s="29">
        <f t="shared" si="2"/>
        <v>9459705.6788641792</v>
      </c>
    </row>
    <row r="8" spans="1:8" x14ac:dyDescent="0.2">
      <c r="A8" s="8">
        <v>40676</v>
      </c>
      <c r="B8" s="1">
        <v>361411.258975</v>
      </c>
      <c r="C8" s="1">
        <v>11120346.43</v>
      </c>
      <c r="D8" s="1">
        <v>0.13</v>
      </c>
      <c r="E8" s="1">
        <f t="shared" si="0"/>
        <v>361411.258975</v>
      </c>
      <c r="F8" s="28">
        <v>8.7499999999999994E-2</v>
      </c>
      <c r="G8" s="28">
        <f t="shared" si="1"/>
        <v>154480.1972498461</v>
      </c>
      <c r="H8" s="29">
        <f t="shared" si="2"/>
        <v>9305225.4816143326</v>
      </c>
    </row>
    <row r="9" spans="1:8" x14ac:dyDescent="0.2">
      <c r="A9" s="8">
        <v>40768</v>
      </c>
      <c r="B9" s="1">
        <v>361411.258975</v>
      </c>
      <c r="C9" s="1">
        <v>11120346.43</v>
      </c>
      <c r="D9" s="1">
        <v>0.13</v>
      </c>
      <c r="E9" s="1">
        <f t="shared" si="0"/>
        <v>361411.258975</v>
      </c>
      <c r="F9" s="28">
        <v>8.7499999999999994E-2</v>
      </c>
      <c r="G9" s="28">
        <f t="shared" si="1"/>
        <v>157859.45156468649</v>
      </c>
      <c r="H9" s="29">
        <f t="shared" si="2"/>
        <v>9147366.0300496463</v>
      </c>
    </row>
    <row r="10" spans="1:8" x14ac:dyDescent="0.2">
      <c r="A10" s="8">
        <v>40860</v>
      </c>
      <c r="B10" s="1">
        <v>361411.258975</v>
      </c>
      <c r="C10" s="1">
        <v>11120346.43</v>
      </c>
      <c r="D10" s="1">
        <v>0.13</v>
      </c>
      <c r="E10" s="1">
        <f t="shared" si="0"/>
        <v>361411.258975</v>
      </c>
      <c r="F10" s="28">
        <v>8.7499999999999994E-2</v>
      </c>
      <c r="G10" s="28">
        <f t="shared" si="1"/>
        <v>161312.627067664</v>
      </c>
      <c r="H10" s="29">
        <f t="shared" si="2"/>
        <v>8986053.4029819816</v>
      </c>
    </row>
    <row r="11" spans="1:8" x14ac:dyDescent="0.2">
      <c r="A11" s="8">
        <v>40952</v>
      </c>
      <c r="B11" s="1">
        <v>361411.258975</v>
      </c>
      <c r="C11" s="1">
        <v>11120346.43</v>
      </c>
      <c r="D11" s="1">
        <v>0.13</v>
      </c>
      <c r="E11" s="1">
        <f t="shared" si="0"/>
        <v>361411.258975</v>
      </c>
      <c r="F11" s="28">
        <v>8.7499999999999994E-2</v>
      </c>
      <c r="G11" s="28">
        <f t="shared" si="1"/>
        <v>164841.34078476916</v>
      </c>
      <c r="H11" s="29">
        <f t="shared" si="2"/>
        <v>8821212.0621972121</v>
      </c>
    </row>
    <row r="12" spans="1:8" x14ac:dyDescent="0.2">
      <c r="A12" s="8">
        <v>41042</v>
      </c>
      <c r="B12" s="1">
        <v>361411.258975</v>
      </c>
      <c r="C12" s="1">
        <v>11120346.43</v>
      </c>
      <c r="D12" s="1">
        <v>0.13</v>
      </c>
      <c r="E12" s="1">
        <f t="shared" si="0"/>
        <v>361411.258975</v>
      </c>
      <c r="F12" s="28">
        <v>8.7499999999999994E-2</v>
      </c>
      <c r="G12" s="28">
        <f t="shared" si="1"/>
        <v>168447.24511443599</v>
      </c>
      <c r="H12" s="29">
        <f t="shared" si="2"/>
        <v>8652764.8170827758</v>
      </c>
    </row>
    <row r="13" spans="1:8" x14ac:dyDescent="0.2">
      <c r="A13" s="8">
        <v>41134</v>
      </c>
      <c r="B13" s="1">
        <v>361411.258975</v>
      </c>
      <c r="C13" s="1">
        <v>11120346.43</v>
      </c>
      <c r="D13" s="1">
        <v>0.13</v>
      </c>
      <c r="E13" s="1">
        <f t="shared" si="0"/>
        <v>361411.258975</v>
      </c>
      <c r="F13" s="28">
        <v>8.7499999999999994E-2</v>
      </c>
      <c r="G13" s="28">
        <f t="shared" si="1"/>
        <v>172132.02860131429</v>
      </c>
      <c r="H13" s="29">
        <f t="shared" si="2"/>
        <v>8480632.7884814609</v>
      </c>
    </row>
    <row r="14" spans="1:8" x14ac:dyDescent="0.2">
      <c r="A14" s="8">
        <v>41226</v>
      </c>
      <c r="B14" s="1">
        <v>361411.258975</v>
      </c>
      <c r="C14" s="1">
        <v>11120346.43</v>
      </c>
      <c r="D14" s="1">
        <v>0.13</v>
      </c>
      <c r="E14" s="1">
        <f t="shared" si="0"/>
        <v>361411.258975</v>
      </c>
      <c r="F14" s="28">
        <v>8.7499999999999994E-2</v>
      </c>
      <c r="G14" s="28">
        <f t="shared" si="1"/>
        <v>175897.41672696805</v>
      </c>
      <c r="H14" s="29">
        <f t="shared" si="2"/>
        <v>8304735.3717544926</v>
      </c>
    </row>
    <row r="15" spans="1:8" x14ac:dyDescent="0.2">
      <c r="A15" s="8">
        <v>41318</v>
      </c>
      <c r="B15" s="1">
        <v>361411.258975</v>
      </c>
      <c r="C15" s="1">
        <v>11120346.43</v>
      </c>
      <c r="D15" s="1">
        <v>0.13</v>
      </c>
      <c r="E15" s="1">
        <f t="shared" si="0"/>
        <v>361411.258975</v>
      </c>
      <c r="F15" s="28">
        <v>8.7499999999999994E-2</v>
      </c>
      <c r="G15" s="28">
        <f t="shared" si="1"/>
        <v>179745.17271787048</v>
      </c>
      <c r="H15" s="29">
        <f t="shared" si="2"/>
        <v>8124990.1990366224</v>
      </c>
    </row>
    <row r="16" spans="1:8" x14ac:dyDescent="0.2">
      <c r="A16" s="8">
        <v>41407</v>
      </c>
      <c r="B16" s="1">
        <v>361411.258975</v>
      </c>
      <c r="C16" s="1">
        <v>11120346.43</v>
      </c>
      <c r="D16" s="1">
        <v>0.13</v>
      </c>
      <c r="E16" s="1">
        <f t="shared" si="0"/>
        <v>361411.258975</v>
      </c>
      <c r="F16" s="28">
        <v>8.7499999999999994E-2</v>
      </c>
      <c r="G16" s="28">
        <f t="shared" si="1"/>
        <v>183677.09837107389</v>
      </c>
      <c r="H16" s="29">
        <f t="shared" si="2"/>
        <v>7941313.1006655488</v>
      </c>
    </row>
    <row r="17" spans="1:8" x14ac:dyDescent="0.2">
      <c r="A17" s="8">
        <v>41499</v>
      </c>
      <c r="B17" s="1">
        <v>361411.258975</v>
      </c>
      <c r="C17" s="1">
        <v>11120346.43</v>
      </c>
      <c r="D17" s="1">
        <v>0.13</v>
      </c>
      <c r="E17" s="1">
        <f t="shared" si="0"/>
        <v>361411.258975</v>
      </c>
      <c r="F17" s="28">
        <v>8.7499999999999994E-2</v>
      </c>
      <c r="G17" s="28">
        <f t="shared" si="1"/>
        <v>187695.03489794114</v>
      </c>
      <c r="H17" s="29">
        <f t="shared" si="2"/>
        <v>7753618.0657676077</v>
      </c>
    </row>
    <row r="18" spans="1:8" x14ac:dyDescent="0.2">
      <c r="A18" s="8">
        <v>41591</v>
      </c>
      <c r="B18" s="1">
        <v>361411.258975</v>
      </c>
      <c r="C18" s="1">
        <v>11120346.43</v>
      </c>
      <c r="D18" s="1">
        <v>0.13</v>
      </c>
      <c r="E18" s="1">
        <f t="shared" si="0"/>
        <v>361411.258975</v>
      </c>
      <c r="F18" s="28">
        <v>8.7499999999999994E-2</v>
      </c>
      <c r="G18" s="28">
        <f t="shared" si="1"/>
        <v>191800.86378633359</v>
      </c>
      <c r="H18" s="29">
        <f t="shared" si="2"/>
        <v>7561817.2019812744</v>
      </c>
    </row>
    <row r="19" spans="1:8" x14ac:dyDescent="0.2">
      <c r="A19" s="8">
        <v>41683</v>
      </c>
      <c r="B19" s="1">
        <v>361411.258975</v>
      </c>
      <c r="C19" s="1">
        <v>11120346.43</v>
      </c>
      <c r="D19" s="1">
        <v>0.13</v>
      </c>
      <c r="E19" s="1">
        <f t="shared" si="0"/>
        <v>361411.258975</v>
      </c>
      <c r="F19" s="28">
        <v>8.7499999999999994E-2</v>
      </c>
      <c r="G19" s="28">
        <f t="shared" si="1"/>
        <v>195996.50768165963</v>
      </c>
      <c r="H19" s="29">
        <f t="shared" si="2"/>
        <v>7365820.694299615</v>
      </c>
    </row>
    <row r="20" spans="1:8" x14ac:dyDescent="0.2">
      <c r="A20" s="8">
        <v>41772</v>
      </c>
      <c r="B20" s="1">
        <v>361411.258975</v>
      </c>
      <c r="C20" s="1">
        <v>11120346.43</v>
      </c>
      <c r="D20" s="1">
        <v>0.13</v>
      </c>
      <c r="E20" s="1">
        <f t="shared" si="0"/>
        <v>361411.258975</v>
      </c>
      <c r="F20" s="28">
        <v>8.7499999999999994E-2</v>
      </c>
      <c r="G20" s="28">
        <f t="shared" si="1"/>
        <v>200283.93128719594</v>
      </c>
      <c r="H20" s="29">
        <f t="shared" si="2"/>
        <v>7165536.7630124195</v>
      </c>
    </row>
    <row r="21" spans="1:8" x14ac:dyDescent="0.2">
      <c r="A21" s="8">
        <v>41864</v>
      </c>
      <c r="B21" s="1">
        <v>361411.258975</v>
      </c>
      <c r="C21" s="1">
        <v>11120346.43</v>
      </c>
      <c r="D21" s="1">
        <v>0.13</v>
      </c>
      <c r="E21" s="1">
        <f t="shared" si="0"/>
        <v>361411.258975</v>
      </c>
      <c r="F21" s="28">
        <v>8.7499999999999994E-2</v>
      </c>
      <c r="G21" s="28">
        <f t="shared" si="1"/>
        <v>204665.14228410335</v>
      </c>
      <c r="H21" s="29">
        <f t="shared" si="2"/>
        <v>6960871.6207283158</v>
      </c>
    </row>
    <row r="22" spans="1:8" x14ac:dyDescent="0.2">
      <c r="A22" s="8">
        <v>41956</v>
      </c>
      <c r="B22" s="1">
        <v>361411.258975</v>
      </c>
      <c r="C22" s="1">
        <v>11120346.43</v>
      </c>
      <c r="D22" s="1">
        <v>0.13</v>
      </c>
      <c r="E22" s="1">
        <f t="shared" si="0"/>
        <v>361411.258975</v>
      </c>
      <c r="F22" s="28">
        <v>8.7499999999999994E-2</v>
      </c>
      <c r="G22" s="28">
        <f t="shared" si="1"/>
        <v>209142.19227156811</v>
      </c>
      <c r="H22" s="29">
        <f t="shared" si="2"/>
        <v>6751729.4284567479</v>
      </c>
    </row>
    <row r="23" spans="1:8" x14ac:dyDescent="0.2">
      <c r="A23" s="8">
        <v>42048</v>
      </c>
      <c r="B23" s="1">
        <v>361411.258975</v>
      </c>
      <c r="C23" s="1">
        <v>11120346.43</v>
      </c>
      <c r="D23" s="1">
        <v>0.13</v>
      </c>
      <c r="E23" s="1">
        <f t="shared" si="0"/>
        <v>361411.258975</v>
      </c>
      <c r="F23" s="28">
        <v>8.7499999999999994E-2</v>
      </c>
      <c r="G23" s="28">
        <f t="shared" si="1"/>
        <v>213717.17772750865</v>
      </c>
      <c r="H23" s="29">
        <f t="shared" si="2"/>
        <v>6538012.2507292395</v>
      </c>
    </row>
    <row r="24" spans="1:8" x14ac:dyDescent="0.2">
      <c r="A24" s="8">
        <v>42137</v>
      </c>
      <c r="B24" s="1">
        <v>361411.258975</v>
      </c>
      <c r="C24" s="1">
        <v>11120346.43</v>
      </c>
      <c r="D24" s="1">
        <v>0.13</v>
      </c>
      <c r="E24" s="1">
        <f t="shared" si="0"/>
        <v>361411.258975</v>
      </c>
      <c r="F24" s="28">
        <v>8.7499999999999994E-2</v>
      </c>
      <c r="G24" s="28">
        <f t="shared" si="1"/>
        <v>218392.2409902979</v>
      </c>
      <c r="H24" s="29">
        <f t="shared" si="2"/>
        <v>6319620.0097389417</v>
      </c>
    </row>
    <row r="25" spans="1:8" x14ac:dyDescent="0.2">
      <c r="A25" s="8">
        <v>42229</v>
      </c>
      <c r="B25" s="1">
        <v>361411.258975</v>
      </c>
      <c r="C25" s="1">
        <v>11120346.43</v>
      </c>
      <c r="D25" s="1">
        <v>0.13</v>
      </c>
      <c r="E25" s="1">
        <f t="shared" si="0"/>
        <v>361411.258975</v>
      </c>
      <c r="F25" s="28">
        <v>8.7499999999999994E-2</v>
      </c>
      <c r="G25" s="28">
        <f t="shared" si="1"/>
        <v>223169.57126196066</v>
      </c>
      <c r="H25" s="29">
        <f t="shared" si="2"/>
        <v>6096450.4384769807</v>
      </c>
    </row>
    <row r="26" spans="1:8" x14ac:dyDescent="0.2">
      <c r="A26" s="8">
        <v>42321</v>
      </c>
      <c r="B26" s="1">
        <v>361411.258975</v>
      </c>
      <c r="C26" s="1">
        <v>11120346.43</v>
      </c>
      <c r="D26" s="1">
        <v>0.13</v>
      </c>
      <c r="E26" s="1">
        <f t="shared" si="0"/>
        <v>361411.258975</v>
      </c>
      <c r="F26" s="28">
        <v>8.7499999999999994E-2</v>
      </c>
      <c r="G26" s="28">
        <f t="shared" si="1"/>
        <v>228051.40563331606</v>
      </c>
      <c r="H26" s="29">
        <f t="shared" si="2"/>
        <v>5868399.0328436643</v>
      </c>
    </row>
    <row r="27" spans="1:8" x14ac:dyDescent="0.2">
      <c r="A27" s="8">
        <v>42413</v>
      </c>
      <c r="B27" s="1">
        <v>361411.258975</v>
      </c>
      <c r="C27" s="1">
        <v>11120346.43</v>
      </c>
      <c r="D27" s="1">
        <v>0.13</v>
      </c>
      <c r="E27" s="1">
        <f t="shared" si="0"/>
        <v>361411.258975</v>
      </c>
      <c r="F27" s="28">
        <v>8.7499999999999994E-2</v>
      </c>
      <c r="G27" s="28">
        <f t="shared" si="1"/>
        <v>233040.03013154486</v>
      </c>
      <c r="H27" s="29">
        <f t="shared" si="2"/>
        <v>5635359.0027121194</v>
      </c>
    </row>
    <row r="28" spans="1:8" x14ac:dyDescent="0.2">
      <c r="A28" s="8">
        <v>42503</v>
      </c>
      <c r="B28" s="1">
        <v>361411.258975</v>
      </c>
      <c r="C28" s="1">
        <v>11120346.43</v>
      </c>
      <c r="D28" s="1">
        <v>0.13</v>
      </c>
      <c r="E28" s="1">
        <f t="shared" si="0"/>
        <v>361411.258975</v>
      </c>
      <c r="F28" s="28">
        <v>8.7499999999999994E-2</v>
      </c>
      <c r="G28" s="28">
        <f t="shared" si="1"/>
        <v>238137.7807906724</v>
      </c>
      <c r="H28" s="29">
        <f t="shared" si="2"/>
        <v>5397221.2219214467</v>
      </c>
    </row>
    <row r="29" spans="1:8" x14ac:dyDescent="0.2">
      <c r="A29" s="8">
        <v>42595</v>
      </c>
      <c r="B29" s="1">
        <v>361411.258975</v>
      </c>
      <c r="C29" s="1">
        <v>11120346.43</v>
      </c>
      <c r="D29" s="1">
        <v>0.13</v>
      </c>
      <c r="E29" s="1">
        <f t="shared" si="0"/>
        <v>361411.258975</v>
      </c>
      <c r="F29" s="28">
        <v>8.7499999999999994E-2</v>
      </c>
      <c r="G29" s="28">
        <f t="shared" si="1"/>
        <v>243347.04474546836</v>
      </c>
      <c r="H29" s="29">
        <f t="shared" si="2"/>
        <v>5153874.1771759782</v>
      </c>
    </row>
    <row r="30" spans="1:8" x14ac:dyDescent="0.2">
      <c r="A30" s="8">
        <v>42687</v>
      </c>
      <c r="B30" s="1">
        <f>+B29</f>
        <v>361411.258975</v>
      </c>
      <c r="C30" s="1">
        <v>11120346.43</v>
      </c>
      <c r="D30" s="1">
        <v>0.13</v>
      </c>
      <c r="E30" s="1">
        <f t="shared" si="0"/>
        <v>361411.258975</v>
      </c>
      <c r="F30" s="28">
        <v>8.7499999999999994E-2</v>
      </c>
      <c r="G30" s="28">
        <f t="shared" si="1"/>
        <v>248670.26134927548</v>
      </c>
      <c r="H30" s="29">
        <f t="shared" si="2"/>
        <v>4905203.9158267025</v>
      </c>
    </row>
    <row r="33" spans="2:7" x14ac:dyDescent="0.2">
      <c r="B33" s="13"/>
      <c r="C33" s="13"/>
      <c r="D33" s="13"/>
      <c r="E33" s="13"/>
    </row>
    <row r="34" spans="2:7" x14ac:dyDescent="0.2">
      <c r="B34" s="2"/>
      <c r="C34" s="2"/>
      <c r="D34" s="2"/>
      <c r="E34" s="2"/>
      <c r="F34" t="s">
        <v>33</v>
      </c>
      <c r="G34" s="2">
        <f>H30-C2</f>
        <v>-6215142.5141732972</v>
      </c>
    </row>
    <row r="36" spans="2:7" x14ac:dyDescent="0.2">
      <c r="F36" t="s">
        <v>34</v>
      </c>
      <c r="G36">
        <v>0.01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C8"/>
  <sheetViews>
    <sheetView workbookViewId="0">
      <selection activeCell="B8" sqref="B8"/>
    </sheetView>
  </sheetViews>
  <sheetFormatPr defaultRowHeight="12.75" x14ac:dyDescent="0.2"/>
  <cols>
    <col min="2" max="2" width="14.5703125" bestFit="1" customWidth="1"/>
  </cols>
  <sheetData>
    <row r="1" spans="1:3" x14ac:dyDescent="0.2">
      <c r="A1" t="s">
        <v>2</v>
      </c>
    </row>
    <row r="4" spans="1:3" x14ac:dyDescent="0.2">
      <c r="A4" s="4" t="s">
        <v>5</v>
      </c>
      <c r="B4" s="25">
        <f>B5-B7*(B5-B6)/(B7-B8)</f>
        <v>0.19466232339267814</v>
      </c>
      <c r="C4" t="s">
        <v>12</v>
      </c>
    </row>
    <row r="5" spans="1:3" x14ac:dyDescent="0.2">
      <c r="A5" s="5" t="s">
        <v>3</v>
      </c>
      <c r="B5">
        <v>8.7499999999999994E-2</v>
      </c>
      <c r="C5" t="s">
        <v>8</v>
      </c>
    </row>
    <row r="6" spans="1:3" x14ac:dyDescent="0.2">
      <c r="A6" s="5" t="s">
        <v>4</v>
      </c>
      <c r="B6">
        <v>1.2500000000000001E-2</v>
      </c>
      <c r="C6" t="s">
        <v>9</v>
      </c>
    </row>
    <row r="7" spans="1:3" x14ac:dyDescent="0.2">
      <c r="A7" s="5" t="s">
        <v>6</v>
      </c>
      <c r="B7" s="2">
        <f>'Iteration 3'!G34</f>
        <v>-6215142.5141732972</v>
      </c>
      <c r="C7" t="s">
        <v>10</v>
      </c>
    </row>
    <row r="8" spans="1:3" x14ac:dyDescent="0.2">
      <c r="A8" s="5" t="s">
        <v>7</v>
      </c>
      <c r="B8" s="2">
        <f>'Iteration 2'!G34</f>
        <v>-10564951.978969261</v>
      </c>
      <c r="C8" t="s">
        <v>11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H36"/>
  <sheetViews>
    <sheetView workbookViewId="0">
      <selection activeCell="F2" sqref="F2:H30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5" width="14.5703125" customWidth="1"/>
    <col min="6" max="6" width="13.42578125" customWidth="1"/>
    <col min="7" max="7" width="14.85546875" customWidth="1"/>
    <col min="8" max="8" width="13.42578125" customWidth="1"/>
  </cols>
  <sheetData>
    <row r="1" spans="1:8" x14ac:dyDescent="0.2">
      <c r="A1" s="7" t="s">
        <v>13</v>
      </c>
      <c r="B1" s="7" t="s">
        <v>0</v>
      </c>
      <c r="C1" s="7" t="s">
        <v>15</v>
      </c>
      <c r="D1" s="7" t="s">
        <v>30</v>
      </c>
      <c r="E1" s="7" t="s">
        <v>32</v>
      </c>
      <c r="F1" s="7" t="s">
        <v>31</v>
      </c>
      <c r="G1" s="7" t="s">
        <v>27</v>
      </c>
      <c r="H1" s="7" t="s">
        <v>25</v>
      </c>
    </row>
    <row r="2" spans="1:8" x14ac:dyDescent="0.2">
      <c r="A2" s="8">
        <v>40130</v>
      </c>
      <c r="B2" s="1">
        <v>-10183896.199999999</v>
      </c>
      <c r="C2" s="1">
        <v>11120346.43</v>
      </c>
      <c r="D2" s="1">
        <v>0.13</v>
      </c>
      <c r="E2" s="1" t="s">
        <v>1</v>
      </c>
      <c r="F2" s="28">
        <f>'Get Rate for Iteration 4'!$B$4</f>
        <v>0.19466232339267814</v>
      </c>
      <c r="G2" s="28"/>
      <c r="H2" s="29">
        <f>+B2*-1</f>
        <v>10183896.199999999</v>
      </c>
    </row>
    <row r="3" spans="1:8" x14ac:dyDescent="0.2">
      <c r="A3" s="8">
        <v>40222</v>
      </c>
      <c r="B3" s="1">
        <v>361411.258975</v>
      </c>
      <c r="C3" s="1">
        <v>11120346.43</v>
      </c>
      <c r="D3" s="1">
        <v>0.13</v>
      </c>
      <c r="E3" s="1">
        <f>+D3*C3*0.25</f>
        <v>361411.258975</v>
      </c>
      <c r="F3" s="28">
        <f>'Get Rate for Iteration 4'!$B$4</f>
        <v>0.19466232339267814</v>
      </c>
      <c r="G3" s="28">
        <f>E3-((H2*0.25*F3))</f>
        <v>-134193.96489546646</v>
      </c>
      <c r="H3" s="29">
        <f>+H2-G3</f>
        <v>10318090.164895466</v>
      </c>
    </row>
    <row r="4" spans="1:8" x14ac:dyDescent="0.2">
      <c r="A4" s="8">
        <v>40311</v>
      </c>
      <c r="B4" s="1">
        <v>361411.258975</v>
      </c>
      <c r="C4" s="1">
        <v>11120346.43</v>
      </c>
      <c r="D4" s="1">
        <v>0.13</v>
      </c>
      <c r="E4" s="1">
        <f t="shared" ref="E4:E30" si="0">+D4*C4*0.25</f>
        <v>361411.258975</v>
      </c>
      <c r="F4" s="28">
        <f>'Get Rate for Iteration 4'!$B$4</f>
        <v>0.19466232339267814</v>
      </c>
      <c r="G4" s="28">
        <f t="shared" ref="G4:G30" si="1">E4-((H3*0.25*F4))</f>
        <v>-140724.59214342322</v>
      </c>
      <c r="H4" s="29">
        <f t="shared" ref="H4:H30" si="2">+H3-G4</f>
        <v>10458814.757038889</v>
      </c>
    </row>
    <row r="5" spans="1:8" x14ac:dyDescent="0.2">
      <c r="A5" s="8">
        <v>40403</v>
      </c>
      <c r="B5" s="1">
        <v>361411.258975</v>
      </c>
      <c r="C5" s="1">
        <v>11120346.43</v>
      </c>
      <c r="D5" s="1">
        <v>0.13</v>
      </c>
      <c r="E5" s="1">
        <f t="shared" si="0"/>
        <v>361411.258975</v>
      </c>
      <c r="F5" s="28">
        <f>'Get Rate for Iteration 4'!$B$4</f>
        <v>0.19466232339267814</v>
      </c>
      <c r="G5" s="28">
        <f t="shared" si="1"/>
        <v>-147573.03615970467</v>
      </c>
      <c r="H5" s="29">
        <f t="shared" si="2"/>
        <v>10606387.793198595</v>
      </c>
    </row>
    <row r="6" spans="1:8" x14ac:dyDescent="0.2">
      <c r="A6" s="8">
        <v>40495</v>
      </c>
      <c r="B6" s="1">
        <v>361411.258975</v>
      </c>
      <c r="C6" s="1">
        <v>11120346.43</v>
      </c>
      <c r="D6" s="1">
        <v>0.13</v>
      </c>
      <c r="E6" s="1">
        <f t="shared" si="0"/>
        <v>361411.258975</v>
      </c>
      <c r="F6" s="28">
        <f>'Get Rate for Iteration 4'!$B$4</f>
        <v>0.19466232339267814</v>
      </c>
      <c r="G6" s="28">
        <f t="shared" si="1"/>
        <v>-154754.76368194469</v>
      </c>
      <c r="H6" s="29">
        <f t="shared" si="2"/>
        <v>10761142.556880539</v>
      </c>
    </row>
    <row r="7" spans="1:8" x14ac:dyDescent="0.2">
      <c r="A7" s="8">
        <v>40587</v>
      </c>
      <c r="B7" s="1">
        <v>361411.258975</v>
      </c>
      <c r="C7" s="1">
        <v>11120346.43</v>
      </c>
      <c r="D7" s="1">
        <v>0.13</v>
      </c>
      <c r="E7" s="1">
        <f t="shared" si="0"/>
        <v>361411.258975</v>
      </c>
      <c r="F7" s="28">
        <f>'Get Rate for Iteration 4'!$B$4</f>
        <v>0.19466232339267814</v>
      </c>
      <c r="G7" s="28">
        <f t="shared" si="1"/>
        <v>-162285.99414554768</v>
      </c>
      <c r="H7" s="29">
        <f t="shared" si="2"/>
        <v>10923428.551026087</v>
      </c>
    </row>
    <row r="8" spans="1:8" x14ac:dyDescent="0.2">
      <c r="A8" s="8">
        <v>40676</v>
      </c>
      <c r="B8" s="1">
        <v>361411.258975</v>
      </c>
      <c r="C8" s="1">
        <v>11120346.43</v>
      </c>
      <c r="D8" s="1">
        <v>0.13</v>
      </c>
      <c r="E8" s="1">
        <f t="shared" si="0"/>
        <v>361411.258975</v>
      </c>
      <c r="F8" s="28">
        <f>'Get Rate for Iteration 4'!$B$4</f>
        <v>0.19466232339267814</v>
      </c>
      <c r="G8" s="28">
        <f t="shared" si="1"/>
        <v>-170183.73631416343</v>
      </c>
      <c r="H8" s="29">
        <f t="shared" si="2"/>
        <v>11093612.28734025</v>
      </c>
    </row>
    <row r="9" spans="1:8" x14ac:dyDescent="0.2">
      <c r="A9" s="8">
        <v>40768</v>
      </c>
      <c r="B9" s="1">
        <v>361411.258975</v>
      </c>
      <c r="C9" s="1">
        <v>11120346.43</v>
      </c>
      <c r="D9" s="1">
        <v>0.13</v>
      </c>
      <c r="E9" s="1">
        <f t="shared" si="0"/>
        <v>361411.258975</v>
      </c>
      <c r="F9" s="28">
        <f>'Get Rate for Iteration 4'!$B$4</f>
        <v>0.19466232339267814</v>
      </c>
      <c r="G9" s="28">
        <f t="shared" si="1"/>
        <v>-178465.82669280388</v>
      </c>
      <c r="H9" s="29">
        <f t="shared" si="2"/>
        <v>11272078.114033055</v>
      </c>
    </row>
    <row r="10" spans="1:8" x14ac:dyDescent="0.2">
      <c r="A10" s="8">
        <v>40860</v>
      </c>
      <c r="B10" s="1">
        <v>361411.258975</v>
      </c>
      <c r="C10" s="1">
        <v>11120346.43</v>
      </c>
      <c r="D10" s="1">
        <v>0.13</v>
      </c>
      <c r="E10" s="1">
        <f t="shared" si="0"/>
        <v>361411.258975</v>
      </c>
      <c r="F10" s="28">
        <f>'Get Rate for Iteration 4'!$B$4</f>
        <v>0.19466232339267814</v>
      </c>
      <c r="G10" s="28">
        <f t="shared" si="1"/>
        <v>-187150.96981035802</v>
      </c>
      <c r="H10" s="29">
        <f t="shared" si="2"/>
        <v>11459229.083843412</v>
      </c>
    </row>
    <row r="11" spans="1:8" x14ac:dyDescent="0.2">
      <c r="A11" s="8">
        <v>40952</v>
      </c>
      <c r="B11" s="1">
        <v>361411.258975</v>
      </c>
      <c r="C11" s="1">
        <v>11120346.43</v>
      </c>
      <c r="D11" s="1">
        <v>0.13</v>
      </c>
      <c r="E11" s="1">
        <f t="shared" si="0"/>
        <v>361411.258975</v>
      </c>
      <c r="F11" s="28">
        <f>'Get Rate for Iteration 4'!$B$4</f>
        <v>0.19466232339267814</v>
      </c>
      <c r="G11" s="28">
        <f t="shared" si="1"/>
        <v>-196258.78046247724</v>
      </c>
      <c r="H11" s="29">
        <f t="shared" si="2"/>
        <v>11655487.864305889</v>
      </c>
    </row>
    <row r="12" spans="1:8" x14ac:dyDescent="0.2">
      <c r="A12" s="8">
        <v>41042</v>
      </c>
      <c r="B12" s="1">
        <v>361411.258975</v>
      </c>
      <c r="C12" s="1">
        <v>11120346.43</v>
      </c>
      <c r="D12" s="1">
        <v>0.13</v>
      </c>
      <c r="E12" s="1">
        <f t="shared" si="0"/>
        <v>361411.258975</v>
      </c>
      <c r="F12" s="28">
        <f>'Get Rate for Iteration 4'!$B$4</f>
        <v>0.19466232339267814</v>
      </c>
      <c r="G12" s="28">
        <f t="shared" si="1"/>
        <v>-205809.82801023708</v>
      </c>
      <c r="H12" s="29">
        <f t="shared" si="2"/>
        <v>11861297.692316126</v>
      </c>
    </row>
    <row r="13" spans="1:8" x14ac:dyDescent="0.2">
      <c r="A13" s="8">
        <v>41134</v>
      </c>
      <c r="B13" s="1">
        <v>361411.258975</v>
      </c>
      <c r="C13" s="1">
        <v>11120346.43</v>
      </c>
      <c r="D13" s="1">
        <v>0.13</v>
      </c>
      <c r="E13" s="1">
        <f t="shared" si="0"/>
        <v>361411.258975</v>
      </c>
      <c r="F13" s="28">
        <f>'Get Rate for Iteration 4'!$B$4</f>
        <v>0.19466232339267814</v>
      </c>
      <c r="G13" s="28">
        <f t="shared" si="1"/>
        <v>-215825.68283461721</v>
      </c>
      <c r="H13" s="29">
        <f t="shared" si="2"/>
        <v>12077123.375150744</v>
      </c>
    </row>
    <row r="14" spans="1:8" x14ac:dyDescent="0.2">
      <c r="A14" s="8">
        <v>41226</v>
      </c>
      <c r="B14" s="1">
        <v>361411.258975</v>
      </c>
      <c r="C14" s="1">
        <v>11120346.43</v>
      </c>
      <c r="D14" s="1">
        <v>0.13</v>
      </c>
      <c r="E14" s="1">
        <f t="shared" si="0"/>
        <v>361411.258975</v>
      </c>
      <c r="F14" s="28">
        <f>'Get Rate for Iteration 4'!$B$4</f>
        <v>0.19466232339267814</v>
      </c>
      <c r="G14" s="28">
        <f t="shared" si="1"/>
        <v>-226328.96505171666</v>
      </c>
      <c r="H14" s="29">
        <f t="shared" si="2"/>
        <v>12303452.34020246</v>
      </c>
    </row>
    <row r="15" spans="1:8" x14ac:dyDescent="0.2">
      <c r="A15" s="8">
        <v>41318</v>
      </c>
      <c r="B15" s="1">
        <v>361411.258975</v>
      </c>
      <c r="C15" s="1">
        <v>11120346.43</v>
      </c>
      <c r="D15" s="1">
        <v>0.13</v>
      </c>
      <c r="E15" s="1">
        <f t="shared" si="0"/>
        <v>361411.258975</v>
      </c>
      <c r="F15" s="28">
        <f>'Get Rate for Iteration 4'!$B$4</f>
        <v>0.19466232339267814</v>
      </c>
      <c r="G15" s="28">
        <f t="shared" si="1"/>
        <v>-237343.39559872344</v>
      </c>
      <c r="H15" s="29">
        <f t="shared" si="2"/>
        <v>12540795.735801183</v>
      </c>
    </row>
    <row r="16" spans="1:8" x14ac:dyDescent="0.2">
      <c r="A16" s="8">
        <v>41407</v>
      </c>
      <c r="B16" s="1">
        <v>361411.258975</v>
      </c>
      <c r="C16" s="1">
        <v>11120346.43</v>
      </c>
      <c r="D16" s="1">
        <v>0.13</v>
      </c>
      <c r="E16" s="1">
        <f t="shared" si="0"/>
        <v>361411.258975</v>
      </c>
      <c r="F16" s="28">
        <f>'Get Rate for Iteration 4'!$B$4</f>
        <v>0.19466232339267814</v>
      </c>
      <c r="G16" s="28">
        <f t="shared" si="1"/>
        <v>-248893.84980601224</v>
      </c>
      <c r="H16" s="29">
        <f t="shared" si="2"/>
        <v>12789689.585607195</v>
      </c>
    </row>
    <row r="17" spans="1:8" x14ac:dyDescent="0.2">
      <c r="A17" s="8">
        <v>41499</v>
      </c>
      <c r="B17" s="1">
        <v>361411.258975</v>
      </c>
      <c r="C17" s="1">
        <v>11120346.43</v>
      </c>
      <c r="D17" s="1">
        <v>0.13</v>
      </c>
      <c r="E17" s="1">
        <f t="shared" si="0"/>
        <v>361411.258975</v>
      </c>
      <c r="F17" s="28">
        <f>'Get Rate for Iteration 4'!$B$4</f>
        <v>0.19466232339267814</v>
      </c>
      <c r="G17" s="28">
        <f t="shared" si="1"/>
        <v>-261006.41357635881</v>
      </c>
      <c r="H17" s="29">
        <f t="shared" si="2"/>
        <v>13050695.999183554</v>
      </c>
    </row>
    <row r="18" spans="1:8" x14ac:dyDescent="0.2">
      <c r="A18" s="8">
        <v>41591</v>
      </c>
      <c r="B18" s="1">
        <v>361411.258975</v>
      </c>
      <c r="C18" s="1">
        <v>11120346.43</v>
      </c>
      <c r="D18" s="1">
        <v>0.13</v>
      </c>
      <c r="E18" s="1">
        <f t="shared" si="0"/>
        <v>361411.258975</v>
      </c>
      <c r="F18" s="28">
        <f>'Get Rate for Iteration 4'!$B$4</f>
        <v>0.19466232339267814</v>
      </c>
      <c r="G18" s="28">
        <f t="shared" si="1"/>
        <v>-273708.44229814992</v>
      </c>
      <c r="H18" s="29">
        <f t="shared" si="2"/>
        <v>13324404.441481704</v>
      </c>
    </row>
    <row r="19" spans="1:8" x14ac:dyDescent="0.2">
      <c r="A19" s="8">
        <v>41683</v>
      </c>
      <c r="B19" s="1">
        <v>361411.258975</v>
      </c>
      <c r="C19" s="1">
        <v>11120346.43</v>
      </c>
      <c r="D19" s="1">
        <v>0.13</v>
      </c>
      <c r="E19" s="1">
        <f t="shared" si="0"/>
        <v>361411.258975</v>
      </c>
      <c r="F19" s="28">
        <f>'Get Rate for Iteration 4'!$B$4</f>
        <v>0.19466232339267814</v>
      </c>
      <c r="G19" s="28">
        <f t="shared" si="1"/>
        <v>-287028.6226256371</v>
      </c>
      <c r="H19" s="29">
        <f t="shared" si="2"/>
        <v>13611433.064107342</v>
      </c>
    </row>
    <row r="20" spans="1:8" x14ac:dyDescent="0.2">
      <c r="A20" s="8">
        <v>41772</v>
      </c>
      <c r="B20" s="1">
        <v>361411.258975</v>
      </c>
      <c r="C20" s="1">
        <v>11120346.43</v>
      </c>
      <c r="D20" s="1">
        <v>0.13</v>
      </c>
      <c r="E20" s="1">
        <f t="shared" si="0"/>
        <v>361411.258975</v>
      </c>
      <c r="F20" s="28">
        <f>'Get Rate for Iteration 4'!$B$4</f>
        <v>0.19466232339267814</v>
      </c>
      <c r="G20" s="28">
        <f t="shared" si="1"/>
        <v>-300997.03726576385</v>
      </c>
      <c r="H20" s="29">
        <f t="shared" si="2"/>
        <v>13912430.101373106</v>
      </c>
    </row>
    <row r="21" spans="1:8" x14ac:dyDescent="0.2">
      <c r="A21" s="8">
        <v>41864</v>
      </c>
      <c r="B21" s="1">
        <v>361411.258975</v>
      </c>
      <c r="C21" s="1">
        <v>11120346.43</v>
      </c>
      <c r="D21" s="1">
        <v>0.13</v>
      </c>
      <c r="E21" s="1">
        <f t="shared" si="0"/>
        <v>361411.258975</v>
      </c>
      <c r="F21" s="28">
        <f>'Get Rate for Iteration 4'!$B$4</f>
        <v>0.19466232339267814</v>
      </c>
      <c r="G21" s="28">
        <f t="shared" si="1"/>
        <v>-315645.23291788041</v>
      </c>
      <c r="H21" s="29">
        <f t="shared" si="2"/>
        <v>14228075.334290987</v>
      </c>
    </row>
    <row r="22" spans="1:8" x14ac:dyDescent="0.2">
      <c r="A22" s="8">
        <v>41956</v>
      </c>
      <c r="B22" s="1">
        <v>361411.258975</v>
      </c>
      <c r="C22" s="1">
        <v>11120346.43</v>
      </c>
      <c r="D22" s="1">
        <v>0.13</v>
      </c>
      <c r="E22" s="1">
        <f t="shared" si="0"/>
        <v>361411.258975</v>
      </c>
      <c r="F22" s="28">
        <f>'Get Rate for Iteration 4'!$B$4</f>
        <v>0.19466232339267814</v>
      </c>
      <c r="G22" s="28">
        <f t="shared" si="1"/>
        <v>-331006.29151978483</v>
      </c>
      <c r="H22" s="29">
        <f t="shared" si="2"/>
        <v>14559081.625810772</v>
      </c>
    </row>
    <row r="23" spans="1:8" x14ac:dyDescent="0.2">
      <c r="A23" s="8">
        <v>42048</v>
      </c>
      <c r="B23" s="1">
        <v>361411.258975</v>
      </c>
      <c r="C23" s="1">
        <v>11120346.43</v>
      </c>
      <c r="D23" s="1">
        <v>0.13</v>
      </c>
      <c r="E23" s="1">
        <f t="shared" si="0"/>
        <v>361411.258975</v>
      </c>
      <c r="F23" s="28">
        <f>'Get Rate for Iteration 4'!$B$4</f>
        <v>0.19466232339267814</v>
      </c>
      <c r="G23" s="28">
        <f t="shared" si="1"/>
        <v>-347114.90496099368</v>
      </c>
      <c r="H23" s="29">
        <f t="shared" si="2"/>
        <v>14906196.530771766</v>
      </c>
    </row>
    <row r="24" spans="1:8" x14ac:dyDescent="0.2">
      <c r="A24" s="8">
        <v>42137</v>
      </c>
      <c r="B24" s="1">
        <v>361411.258975</v>
      </c>
      <c r="C24" s="1">
        <v>11120346.43</v>
      </c>
      <c r="D24" s="1">
        <v>0.13</v>
      </c>
      <c r="E24" s="1">
        <f t="shared" si="0"/>
        <v>361411.258975</v>
      </c>
      <c r="F24" s="28">
        <f>'Get Rate for Iteration 4'!$B$4</f>
        <v>0.19466232339267814</v>
      </c>
      <c r="G24" s="28">
        <f t="shared" si="1"/>
        <v>-364007.45343197766</v>
      </c>
      <c r="H24" s="29">
        <f t="shared" si="2"/>
        <v>15270203.984203743</v>
      </c>
    </row>
    <row r="25" spans="1:8" x14ac:dyDescent="0.2">
      <c r="A25" s="8">
        <v>42229</v>
      </c>
      <c r="B25" s="1">
        <v>361411.258975</v>
      </c>
      <c r="C25" s="1">
        <v>11120346.43</v>
      </c>
      <c r="D25" s="1">
        <v>0.13</v>
      </c>
      <c r="E25" s="1">
        <f t="shared" si="0"/>
        <v>361411.258975</v>
      </c>
      <c r="F25" s="28">
        <f>'Get Rate for Iteration 4'!$B$4</f>
        <v>0.19466232339267814</v>
      </c>
      <c r="G25" s="28">
        <f t="shared" si="1"/>
        <v>-381722.08758630778</v>
      </c>
      <c r="H25" s="29">
        <f t="shared" si="2"/>
        <v>15651926.071790051</v>
      </c>
    </row>
    <row r="26" spans="1:8" x14ac:dyDescent="0.2">
      <c r="A26" s="8">
        <v>42321</v>
      </c>
      <c r="B26" s="1">
        <v>361411.258975</v>
      </c>
      <c r="C26" s="1">
        <v>11120346.43</v>
      </c>
      <c r="D26" s="1">
        <v>0.13</v>
      </c>
      <c r="E26" s="1">
        <f t="shared" si="0"/>
        <v>361411.258975</v>
      </c>
      <c r="F26" s="28">
        <f>'Get Rate for Iteration 4'!$B$4</f>
        <v>0.19466232339267814</v>
      </c>
      <c r="G26" s="28">
        <f t="shared" si="1"/>
        <v>-400298.81470127136</v>
      </c>
      <c r="H26" s="29">
        <f t="shared" si="2"/>
        <v>16052224.886491323</v>
      </c>
    </row>
    <row r="27" spans="1:8" x14ac:dyDescent="0.2">
      <c r="A27" s="8">
        <v>42413</v>
      </c>
      <c r="B27" s="1">
        <v>361411.258975</v>
      </c>
      <c r="C27" s="1">
        <v>11120346.43</v>
      </c>
      <c r="D27" s="1">
        <v>0.13</v>
      </c>
      <c r="E27" s="1">
        <f t="shared" si="0"/>
        <v>361411.258975</v>
      </c>
      <c r="F27" s="28">
        <f>'Get Rate for Iteration 4'!$B$4</f>
        <v>0.19466232339267814</v>
      </c>
      <c r="G27" s="28">
        <f t="shared" si="1"/>
        <v>-419779.58903154253</v>
      </c>
      <c r="H27" s="29">
        <f t="shared" si="2"/>
        <v>16472004.475522865</v>
      </c>
    </row>
    <row r="28" spans="1:8" x14ac:dyDescent="0.2">
      <c r="A28" s="8">
        <v>42503</v>
      </c>
      <c r="B28" s="1">
        <v>361411.258975</v>
      </c>
      <c r="C28" s="1">
        <v>11120346.43</v>
      </c>
      <c r="D28" s="1">
        <v>0.13</v>
      </c>
      <c r="E28" s="1">
        <f t="shared" si="0"/>
        <v>361411.258975</v>
      </c>
      <c r="F28" s="28">
        <f>'Get Rate for Iteration 4'!$B$4</f>
        <v>0.19466232339267814</v>
      </c>
      <c r="G28" s="28">
        <f t="shared" si="1"/>
        <v>-440208.40655996837</v>
      </c>
      <c r="H28" s="29">
        <f t="shared" si="2"/>
        <v>16912212.882082835</v>
      </c>
    </row>
    <row r="29" spans="1:8" x14ac:dyDescent="0.2">
      <c r="A29" s="8">
        <v>42595</v>
      </c>
      <c r="B29" s="1">
        <v>361411.258975</v>
      </c>
      <c r="C29" s="1">
        <v>11120346.43</v>
      </c>
      <c r="D29" s="1">
        <v>0.13</v>
      </c>
      <c r="E29" s="1">
        <f t="shared" si="0"/>
        <v>361411.258975</v>
      </c>
      <c r="F29" s="28">
        <f>'Get Rate for Iteration 4'!$B$4</f>
        <v>0.19466232339267814</v>
      </c>
      <c r="G29" s="28">
        <f t="shared" si="1"/>
        <v>-461631.4043594565</v>
      </c>
      <c r="H29" s="29">
        <f t="shared" si="2"/>
        <v>17373844.286442291</v>
      </c>
    </row>
    <row r="30" spans="1:8" x14ac:dyDescent="0.2">
      <c r="A30" s="8">
        <v>42687</v>
      </c>
      <c r="B30" s="1">
        <f>+B29</f>
        <v>361411.258975</v>
      </c>
      <c r="C30" s="1">
        <v>11120346.43</v>
      </c>
      <c r="D30" s="1">
        <v>0.13</v>
      </c>
      <c r="E30" s="1">
        <f t="shared" si="0"/>
        <v>361411.258975</v>
      </c>
      <c r="F30" s="28">
        <f>'Get Rate for Iteration 4'!$B$4</f>
        <v>0.19466232339267814</v>
      </c>
      <c r="G30" s="28">
        <f t="shared" si="1"/>
        <v>-484096.96479036566</v>
      </c>
      <c r="H30" s="29">
        <f t="shared" si="2"/>
        <v>17857941.251232658</v>
      </c>
    </row>
    <row r="33" spans="2:7" x14ac:dyDescent="0.2">
      <c r="B33" s="13"/>
      <c r="C33" s="13"/>
      <c r="D33" s="13"/>
      <c r="E33" s="13"/>
    </row>
    <row r="34" spans="2:7" x14ac:dyDescent="0.2">
      <c r="B34" s="2"/>
      <c r="C34" s="2"/>
      <c r="D34" s="2"/>
      <c r="E34" s="2"/>
      <c r="F34" t="s">
        <v>33</v>
      </c>
      <c r="G34" s="2">
        <f>H30-C2</f>
        <v>6737594.8212326579</v>
      </c>
    </row>
    <row r="36" spans="2:7" x14ac:dyDescent="0.2">
      <c r="F36" t="s">
        <v>34</v>
      </c>
      <c r="G36">
        <v>0.01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C8"/>
  <sheetViews>
    <sheetView workbookViewId="0">
      <selection activeCell="N36" sqref="N36"/>
    </sheetView>
  </sheetViews>
  <sheetFormatPr defaultRowHeight="12.75" x14ac:dyDescent="0.2"/>
  <cols>
    <col min="2" max="2" width="14.5703125" bestFit="1" customWidth="1"/>
  </cols>
  <sheetData>
    <row r="1" spans="1:3" x14ac:dyDescent="0.2">
      <c r="A1" t="s">
        <v>2</v>
      </c>
    </row>
    <row r="4" spans="1:3" x14ac:dyDescent="0.2">
      <c r="A4" s="4" t="s">
        <v>5</v>
      </c>
      <c r="B4" s="25">
        <f>B5-B7*(B5-B6)/(B7-B8)</f>
        <v>0.13891995045439925</v>
      </c>
      <c r="C4" t="s">
        <v>12</v>
      </c>
    </row>
    <row r="5" spans="1:3" x14ac:dyDescent="0.2">
      <c r="A5" s="5" t="s">
        <v>3</v>
      </c>
      <c r="B5">
        <f>'Iteration 4 '!F2</f>
        <v>0.19466232339267814</v>
      </c>
      <c r="C5" t="s">
        <v>8</v>
      </c>
    </row>
    <row r="6" spans="1:3" x14ac:dyDescent="0.2">
      <c r="A6" s="5" t="s">
        <v>4</v>
      </c>
      <c r="B6">
        <f>'Iteration 3'!F2</f>
        <v>8.7499999999999994E-2</v>
      </c>
      <c r="C6" t="s">
        <v>9</v>
      </c>
    </row>
    <row r="7" spans="1:3" x14ac:dyDescent="0.2">
      <c r="A7" s="5" t="s">
        <v>6</v>
      </c>
      <c r="B7" s="2">
        <f>'Iteration 4 '!G34</f>
        <v>6737594.8212326579</v>
      </c>
      <c r="C7" t="s">
        <v>10</v>
      </c>
    </row>
    <row r="8" spans="1:3" x14ac:dyDescent="0.2">
      <c r="A8" s="5" t="s">
        <v>7</v>
      </c>
      <c r="B8" s="2">
        <f>'Iteration 3'!G34</f>
        <v>-6215142.5141732972</v>
      </c>
      <c r="C8" t="s">
        <v>11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H36"/>
  <sheetViews>
    <sheetView zoomScaleNormal="100" workbookViewId="0">
      <selection activeCell="H25" sqref="H25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5" width="14.5703125" customWidth="1"/>
    <col min="6" max="6" width="13.42578125" customWidth="1"/>
    <col min="7" max="7" width="14.85546875" customWidth="1"/>
    <col min="8" max="8" width="13.42578125" customWidth="1"/>
  </cols>
  <sheetData>
    <row r="1" spans="1:8" x14ac:dyDescent="0.2">
      <c r="A1" s="7" t="s">
        <v>13</v>
      </c>
      <c r="B1" s="7" t="s">
        <v>0</v>
      </c>
      <c r="C1" s="7" t="s">
        <v>15</v>
      </c>
      <c r="D1" s="7" t="s">
        <v>30</v>
      </c>
      <c r="E1" s="7" t="s">
        <v>32</v>
      </c>
      <c r="F1" s="7" t="s">
        <v>31</v>
      </c>
      <c r="G1" s="7" t="s">
        <v>27</v>
      </c>
      <c r="H1" s="7" t="s">
        <v>25</v>
      </c>
    </row>
    <row r="2" spans="1:8" x14ac:dyDescent="0.2">
      <c r="A2" s="8">
        <v>40130</v>
      </c>
      <c r="B2" s="1">
        <v>-10183896.199999999</v>
      </c>
      <c r="C2" s="1">
        <v>11120346.43</v>
      </c>
      <c r="D2" s="1">
        <v>0.13</v>
      </c>
      <c r="E2" s="1" t="s">
        <v>1</v>
      </c>
      <c r="F2" s="28">
        <f>'Get Rate for Iteration 5'!$B$4</f>
        <v>0.13891995045439925</v>
      </c>
      <c r="G2" s="28"/>
      <c r="H2" s="29">
        <f>+B2*-1</f>
        <v>10183896.199999999</v>
      </c>
    </row>
    <row r="3" spans="1:8" x14ac:dyDescent="0.2">
      <c r="A3" s="8">
        <v>40222</v>
      </c>
      <c r="B3" s="1">
        <v>361411.258975</v>
      </c>
      <c r="C3" s="1">
        <v>11120346.43</v>
      </c>
      <c r="D3" s="1">
        <v>0.13</v>
      </c>
      <c r="E3" s="1">
        <f>+D3*C3*0.25</f>
        <v>361411.258975</v>
      </c>
      <c r="F3" s="28">
        <f>'Get Rate for Iteration 5'!$B$4</f>
        <v>0.13891995045439925</v>
      </c>
      <c r="G3" s="28">
        <f>E3-((H2*0.25*F3))</f>
        <v>7724.67009081383</v>
      </c>
      <c r="H3" s="29">
        <f>+H2-G3</f>
        <v>10176171.529909186</v>
      </c>
    </row>
    <row r="4" spans="1:8" x14ac:dyDescent="0.2">
      <c r="A4" s="8">
        <v>40311</v>
      </c>
      <c r="B4" s="1">
        <v>361411.258975</v>
      </c>
      <c r="C4" s="1">
        <v>11120346.43</v>
      </c>
      <c r="D4" s="1">
        <v>0.13</v>
      </c>
      <c r="E4" s="1">
        <f t="shared" ref="E4:E30" si="0">+D4*C4*0.25</f>
        <v>361411.258975</v>
      </c>
      <c r="F4" s="28">
        <f>'Get Rate for Iteration 5'!$B$4</f>
        <v>0.13891995045439925</v>
      </c>
      <c r="G4" s="28">
        <f t="shared" ref="G4:G30" si="1">E4-((H3*0.25*F4))</f>
        <v>7992.9477873868891</v>
      </c>
      <c r="H4" s="29">
        <f t="shared" ref="H4:H30" si="2">+H3-G4</f>
        <v>10168178.582121799</v>
      </c>
    </row>
    <row r="5" spans="1:8" x14ac:dyDescent="0.2">
      <c r="A5" s="8">
        <v>40403</v>
      </c>
      <c r="B5" s="1">
        <v>361411.258975</v>
      </c>
      <c r="C5" s="1">
        <v>11120346.43</v>
      </c>
      <c r="D5" s="1">
        <v>0.13</v>
      </c>
      <c r="E5" s="1">
        <f t="shared" si="0"/>
        <v>361411.258975</v>
      </c>
      <c r="F5" s="28">
        <f>'Get Rate for Iteration 5'!$B$4</f>
        <v>0.13891995045439925</v>
      </c>
      <c r="G5" s="28">
        <f t="shared" si="1"/>
        <v>8270.5427650390193</v>
      </c>
      <c r="H5" s="29">
        <f t="shared" si="2"/>
        <v>10159908.039356761</v>
      </c>
    </row>
    <row r="6" spans="1:8" x14ac:dyDescent="0.2">
      <c r="A6" s="8">
        <v>40495</v>
      </c>
      <c r="B6" s="1">
        <v>361411.258975</v>
      </c>
      <c r="C6" s="1">
        <v>11120346.43</v>
      </c>
      <c r="D6" s="1">
        <v>0.13</v>
      </c>
      <c r="E6" s="1">
        <f t="shared" si="0"/>
        <v>361411.258975</v>
      </c>
      <c r="F6" s="28">
        <f>'Get Rate for Iteration 5'!$B$4</f>
        <v>0.13891995045439925</v>
      </c>
      <c r="G6" s="28">
        <f t="shared" si="1"/>
        <v>8557.7786128265434</v>
      </c>
      <c r="H6" s="29">
        <f t="shared" si="2"/>
        <v>10151350.260743935</v>
      </c>
    </row>
    <row r="7" spans="1:8" x14ac:dyDescent="0.2">
      <c r="A7" s="8">
        <v>40587</v>
      </c>
      <c r="B7" s="1">
        <v>361411.258975</v>
      </c>
      <c r="C7" s="1">
        <v>11120346.43</v>
      </c>
      <c r="D7" s="1">
        <v>0.13</v>
      </c>
      <c r="E7" s="1">
        <f t="shared" si="0"/>
        <v>361411.258975</v>
      </c>
      <c r="F7" s="28">
        <f>'Get Rate for Iteration 5'!$B$4</f>
        <v>0.13891995045439925</v>
      </c>
      <c r="G7" s="28">
        <f t="shared" si="1"/>
        <v>8854.9901580499136</v>
      </c>
      <c r="H7" s="29">
        <f t="shared" si="2"/>
        <v>10142495.270585885</v>
      </c>
    </row>
    <row r="8" spans="1:8" x14ac:dyDescent="0.2">
      <c r="A8" s="8">
        <v>40676</v>
      </c>
      <c r="B8" s="1">
        <v>361411.258975</v>
      </c>
      <c r="C8" s="1">
        <v>11120346.43</v>
      </c>
      <c r="D8" s="1">
        <v>0.13</v>
      </c>
      <c r="E8" s="1">
        <f t="shared" si="0"/>
        <v>361411.258975</v>
      </c>
      <c r="F8" s="28">
        <f>'Get Rate for Iteration 5'!$B$4</f>
        <v>0.13891995045439925</v>
      </c>
      <c r="G8" s="28">
        <f t="shared" si="1"/>
        <v>9162.5238565574982</v>
      </c>
      <c r="H8" s="29">
        <f t="shared" si="2"/>
        <v>10133332.746729327</v>
      </c>
    </row>
    <row r="9" spans="1:8" x14ac:dyDescent="0.2">
      <c r="A9" s="8">
        <v>40768</v>
      </c>
      <c r="B9" s="1">
        <v>361411.258975</v>
      </c>
      <c r="C9" s="1">
        <v>11120346.43</v>
      </c>
      <c r="D9" s="1">
        <v>0.13</v>
      </c>
      <c r="E9" s="1">
        <f t="shared" si="0"/>
        <v>361411.258975</v>
      </c>
      <c r="F9" s="28">
        <f>'Get Rate for Iteration 5'!$B$4</f>
        <v>0.13891995045439925</v>
      </c>
      <c r="G9" s="28">
        <f t="shared" si="1"/>
        <v>9480.7381966050598</v>
      </c>
      <c r="H9" s="29">
        <f t="shared" si="2"/>
        <v>10123852.008532722</v>
      </c>
    </row>
    <row r="10" spans="1:8" x14ac:dyDescent="0.2">
      <c r="A10" s="8">
        <v>40860</v>
      </c>
      <c r="B10" s="1">
        <v>361411.258975</v>
      </c>
      <c r="C10" s="1">
        <v>11120346.43</v>
      </c>
      <c r="D10" s="1">
        <v>0.13</v>
      </c>
      <c r="E10" s="1">
        <f t="shared" si="0"/>
        <v>361411.258975</v>
      </c>
      <c r="F10" s="28">
        <f>'Get Rate for Iteration 5'!$B$4</f>
        <v>0.13891995045439925</v>
      </c>
      <c r="G10" s="28">
        <f t="shared" si="1"/>
        <v>9810.0041167410091</v>
      </c>
      <c r="H10" s="29">
        <f t="shared" si="2"/>
        <v>10114042.004415981</v>
      </c>
    </row>
    <row r="11" spans="1:8" x14ac:dyDescent="0.2">
      <c r="A11" s="8">
        <v>40952</v>
      </c>
      <c r="B11" s="1">
        <v>361411.258975</v>
      </c>
      <c r="C11" s="1">
        <v>11120346.43</v>
      </c>
      <c r="D11" s="1">
        <v>0.13</v>
      </c>
      <c r="E11" s="1">
        <f t="shared" si="0"/>
        <v>361411.258975</v>
      </c>
      <c r="F11" s="28">
        <f>'Get Rate for Iteration 5'!$B$4</f>
        <v>0.13891995045439925</v>
      </c>
      <c r="G11" s="28">
        <f t="shared" si="1"/>
        <v>10150.70543820475</v>
      </c>
      <c r="H11" s="29">
        <f t="shared" si="2"/>
        <v>10103891.298977777</v>
      </c>
    </row>
    <row r="12" spans="1:8" x14ac:dyDescent="0.2">
      <c r="A12" s="8">
        <v>41042</v>
      </c>
      <c r="B12" s="1">
        <v>361411.258975</v>
      </c>
      <c r="C12" s="1">
        <v>11120346.43</v>
      </c>
      <c r="D12" s="1">
        <v>0.13</v>
      </c>
      <c r="E12" s="1">
        <f t="shared" si="0"/>
        <v>361411.258975</v>
      </c>
      <c r="F12" s="28">
        <f>'Get Rate for Iteration 5'!$B$4</f>
        <v>0.13891995045439925</v>
      </c>
      <c r="G12" s="28">
        <f t="shared" si="1"/>
        <v>10503.239312342892</v>
      </c>
      <c r="H12" s="29">
        <f t="shared" si="2"/>
        <v>10093388.059665434</v>
      </c>
    </row>
    <row r="13" spans="1:8" x14ac:dyDescent="0.2">
      <c r="A13" s="8">
        <v>41134</v>
      </c>
      <c r="B13" s="1">
        <v>361411.258975</v>
      </c>
      <c r="C13" s="1">
        <v>11120346.43</v>
      </c>
      <c r="D13" s="1">
        <v>0.13</v>
      </c>
      <c r="E13" s="1">
        <f t="shared" si="0"/>
        <v>361411.258975</v>
      </c>
      <c r="F13" s="28">
        <f>'Get Rate for Iteration 5'!$B$4</f>
        <v>0.13891995045439925</v>
      </c>
      <c r="G13" s="28">
        <f t="shared" si="1"/>
        <v>10868.016683563241</v>
      </c>
      <c r="H13" s="29">
        <f t="shared" si="2"/>
        <v>10082520.04298187</v>
      </c>
    </row>
    <row r="14" spans="1:8" x14ac:dyDescent="0.2">
      <c r="A14" s="8">
        <v>41226</v>
      </c>
      <c r="B14" s="1">
        <v>361411.258975</v>
      </c>
      <c r="C14" s="1">
        <v>11120346.43</v>
      </c>
      <c r="D14" s="1">
        <v>0.13</v>
      </c>
      <c r="E14" s="1">
        <f t="shared" si="0"/>
        <v>361411.258975</v>
      </c>
      <c r="F14" s="28">
        <f>'Get Rate for Iteration 5'!$B$4</f>
        <v>0.13891995045439925</v>
      </c>
      <c r="G14" s="28">
        <f t="shared" si="1"/>
        <v>11245.462768367783</v>
      </c>
      <c r="H14" s="29">
        <f t="shared" si="2"/>
        <v>10071274.580213502</v>
      </c>
    </row>
    <row r="15" spans="1:8" x14ac:dyDescent="0.2">
      <c r="A15" s="8">
        <v>41318</v>
      </c>
      <c r="B15" s="1">
        <v>361411.258975</v>
      </c>
      <c r="C15" s="1">
        <v>11120346.43</v>
      </c>
      <c r="D15" s="1">
        <v>0.13</v>
      </c>
      <c r="E15" s="1">
        <f t="shared" si="0"/>
        <v>361411.258975</v>
      </c>
      <c r="F15" s="28">
        <f>'Get Rate for Iteration 5'!$B$4</f>
        <v>0.13891995045439925</v>
      </c>
      <c r="G15" s="28">
        <f t="shared" si="1"/>
        <v>11636.017551022407</v>
      </c>
      <c r="H15" s="29">
        <f t="shared" si="2"/>
        <v>10059638.56266248</v>
      </c>
    </row>
    <row r="16" spans="1:8" x14ac:dyDescent="0.2">
      <c r="A16" s="8">
        <v>41407</v>
      </c>
      <c r="B16" s="1">
        <v>361411.258975</v>
      </c>
      <c r="C16" s="1">
        <v>11120346.43</v>
      </c>
      <c r="D16" s="1">
        <v>0.13</v>
      </c>
      <c r="E16" s="1">
        <f t="shared" si="0"/>
        <v>361411.258975</v>
      </c>
      <c r="F16" s="28">
        <f>'Get Rate for Iteration 5'!$B$4</f>
        <v>0.13891995045439925</v>
      </c>
      <c r="G16" s="28">
        <f t="shared" si="1"/>
        <v>12040.136296441022</v>
      </c>
      <c r="H16" s="29">
        <f t="shared" si="2"/>
        <v>10047598.426366039</v>
      </c>
    </row>
    <row r="17" spans="1:8" x14ac:dyDescent="0.2">
      <c r="A17" s="8">
        <v>41499</v>
      </c>
      <c r="B17" s="1">
        <v>361411.258975</v>
      </c>
      <c r="C17" s="1">
        <v>11120346.43</v>
      </c>
      <c r="D17" s="1">
        <v>0.13</v>
      </c>
      <c r="E17" s="1">
        <f t="shared" si="0"/>
        <v>361411.258975</v>
      </c>
      <c r="F17" s="28">
        <f>'Get Rate for Iteration 5'!$B$4</f>
        <v>0.13891995045439925</v>
      </c>
      <c r="G17" s="28">
        <f t="shared" si="1"/>
        <v>12458.290080882492</v>
      </c>
      <c r="H17" s="29">
        <f t="shared" si="2"/>
        <v>10035140.136285156</v>
      </c>
    </row>
    <row r="18" spans="1:8" x14ac:dyDescent="0.2">
      <c r="A18" s="8">
        <v>41591</v>
      </c>
      <c r="B18" s="1">
        <v>361411.258975</v>
      </c>
      <c r="C18" s="1">
        <v>11120346.43</v>
      </c>
      <c r="D18" s="1">
        <v>0.13</v>
      </c>
      <c r="E18" s="1">
        <f t="shared" si="0"/>
        <v>361411.258975</v>
      </c>
      <c r="F18" s="28">
        <f>'Get Rate for Iteration 5'!$B$4</f>
        <v>0.13891995045439925</v>
      </c>
      <c r="G18" s="28">
        <f t="shared" si="1"/>
        <v>12890.966341078165</v>
      </c>
      <c r="H18" s="29">
        <f t="shared" si="2"/>
        <v>10022249.169944078</v>
      </c>
    </row>
    <row r="19" spans="1:8" x14ac:dyDescent="0.2">
      <c r="A19" s="8">
        <v>41683</v>
      </c>
      <c r="B19" s="1">
        <v>361411.258975</v>
      </c>
      <c r="C19" s="1">
        <v>11120346.43</v>
      </c>
      <c r="D19" s="1">
        <v>0.13</v>
      </c>
      <c r="E19" s="1">
        <f t="shared" si="0"/>
        <v>361411.258975</v>
      </c>
      <c r="F19" s="28">
        <f>'Get Rate for Iteration 5'!$B$4</f>
        <v>0.13891995045439925</v>
      </c>
      <c r="G19" s="28">
        <f t="shared" si="1"/>
        <v>13338.669442431186</v>
      </c>
      <c r="H19" s="29">
        <f t="shared" si="2"/>
        <v>10008910.500501646</v>
      </c>
    </row>
    <row r="20" spans="1:8" x14ac:dyDescent="0.2">
      <c r="A20" s="8">
        <v>41772</v>
      </c>
      <c r="B20" s="1">
        <v>361411.258975</v>
      </c>
      <c r="C20" s="1">
        <v>11120346.43</v>
      </c>
      <c r="D20" s="1">
        <v>0.13</v>
      </c>
      <c r="E20" s="1">
        <f t="shared" si="0"/>
        <v>361411.258975</v>
      </c>
      <c r="F20" s="28">
        <f>'Get Rate for Iteration 5'!$B$4</f>
        <v>0.13891995045439925</v>
      </c>
      <c r="G20" s="28">
        <f t="shared" si="1"/>
        <v>13801.921266948746</v>
      </c>
      <c r="H20" s="29">
        <f t="shared" si="2"/>
        <v>9995108.5792346969</v>
      </c>
    </row>
    <row r="21" spans="1:8" x14ac:dyDescent="0.2">
      <c r="A21" s="8">
        <v>41864</v>
      </c>
      <c r="B21" s="1">
        <v>361411.258975</v>
      </c>
      <c r="C21" s="1">
        <v>11120346.43</v>
      </c>
      <c r="D21" s="1">
        <v>0.13</v>
      </c>
      <c r="E21" s="1">
        <f t="shared" si="0"/>
        <v>361411.258975</v>
      </c>
      <c r="F21" s="28">
        <f>'Get Rate for Iteration 5'!$B$4</f>
        <v>0.13891995045439925</v>
      </c>
      <c r="G21" s="28">
        <f t="shared" si="1"/>
        <v>14281.26182159374</v>
      </c>
      <c r="H21" s="29">
        <f t="shared" si="2"/>
        <v>9980827.3174131028</v>
      </c>
    </row>
    <row r="22" spans="1:8" x14ac:dyDescent="0.2">
      <c r="A22" s="8">
        <v>41956</v>
      </c>
      <c r="B22" s="1">
        <v>361411.258975</v>
      </c>
      <c r="C22" s="1">
        <v>11120346.43</v>
      </c>
      <c r="D22" s="1">
        <v>0.13</v>
      </c>
      <c r="E22" s="1">
        <f t="shared" si="0"/>
        <v>361411.258975</v>
      </c>
      <c r="F22" s="28">
        <f>'Get Rate for Iteration 5'!$B$4</f>
        <v>0.13891995045439925</v>
      </c>
      <c r="G22" s="28">
        <f t="shared" si="1"/>
        <v>14777.249867764302</v>
      </c>
      <c r="H22" s="29">
        <f t="shared" si="2"/>
        <v>9966050.0675453395</v>
      </c>
    </row>
    <row r="23" spans="1:8" x14ac:dyDescent="0.2">
      <c r="A23" s="8">
        <v>42048</v>
      </c>
      <c r="B23" s="1">
        <v>361411.258975</v>
      </c>
      <c r="C23" s="1">
        <v>11120346.43</v>
      </c>
      <c r="D23" s="1">
        <v>0.13</v>
      </c>
      <c r="E23" s="1">
        <f t="shared" si="0"/>
        <v>361411.258975</v>
      </c>
      <c r="F23" s="28">
        <f>'Get Rate for Iteration 5'!$B$4</f>
        <v>0.13891995045439925</v>
      </c>
      <c r="G23" s="28">
        <f t="shared" si="1"/>
        <v>15290.463572634791</v>
      </c>
      <c r="H23" s="29">
        <f t="shared" si="2"/>
        <v>9950759.6039727051</v>
      </c>
    </row>
    <row r="24" spans="1:8" x14ac:dyDescent="0.2">
      <c r="A24" s="8">
        <v>42137</v>
      </c>
      <c r="B24" s="1">
        <v>361411.258975</v>
      </c>
      <c r="C24" s="1">
        <v>11120346.43</v>
      </c>
      <c r="D24" s="1">
        <v>0.13</v>
      </c>
      <c r="E24" s="1">
        <f t="shared" si="0"/>
        <v>361411.258975</v>
      </c>
      <c r="F24" s="28">
        <f>'Get Rate for Iteration 5'!$B$4</f>
        <v>0.13891995045439925</v>
      </c>
      <c r="G24" s="28">
        <f t="shared" si="1"/>
        <v>15821.501183118555</v>
      </c>
      <c r="H24" s="29">
        <f t="shared" si="2"/>
        <v>9934938.1027895864</v>
      </c>
    </row>
    <row r="25" spans="1:8" x14ac:dyDescent="0.2">
      <c r="A25" s="8">
        <v>42229</v>
      </c>
      <c r="B25" s="1">
        <v>361411.258975</v>
      </c>
      <c r="C25" s="1">
        <v>11120346.43</v>
      </c>
      <c r="D25" s="1">
        <v>0.13</v>
      </c>
      <c r="E25" s="1">
        <f t="shared" si="0"/>
        <v>361411.258975</v>
      </c>
      <c r="F25" s="28">
        <f>'Get Rate for Iteration 5'!$B$4</f>
        <v>0.13891995045439925</v>
      </c>
      <c r="G25" s="28">
        <f t="shared" si="1"/>
        <v>16370.981723236851</v>
      </c>
      <c r="H25" s="29">
        <f t="shared" si="2"/>
        <v>9918567.1210663505</v>
      </c>
    </row>
    <row r="26" spans="1:8" x14ac:dyDescent="0.2">
      <c r="A26" s="8">
        <v>42321</v>
      </c>
      <c r="B26" s="1">
        <v>361411.258975</v>
      </c>
      <c r="C26" s="1">
        <v>11120346.43</v>
      </c>
      <c r="D26" s="1">
        <v>0.13</v>
      </c>
      <c r="E26" s="1">
        <f t="shared" si="0"/>
        <v>361411.258975</v>
      </c>
      <c r="F26" s="28">
        <f>'Get Rate for Iteration 5'!$B$4</f>
        <v>0.13891995045439925</v>
      </c>
      <c r="G26" s="28">
        <f t="shared" si="1"/>
        <v>16939.545715707296</v>
      </c>
      <c r="H26" s="29">
        <f t="shared" si="2"/>
        <v>9901627.5753506441</v>
      </c>
    </row>
    <row r="27" spans="1:8" x14ac:dyDescent="0.2">
      <c r="A27" s="8">
        <v>42413</v>
      </c>
      <c r="B27" s="1">
        <v>361411.258975</v>
      </c>
      <c r="C27" s="1">
        <v>11120346.43</v>
      </c>
      <c r="D27" s="1">
        <v>0.13</v>
      </c>
      <c r="E27" s="1">
        <f t="shared" si="0"/>
        <v>361411.258975</v>
      </c>
      <c r="F27" s="28">
        <f>'Get Rate for Iteration 5'!$B$4</f>
        <v>0.13891995045439925</v>
      </c>
      <c r="G27" s="28">
        <f t="shared" si="1"/>
        <v>17527.855928593781</v>
      </c>
      <c r="H27" s="29">
        <f t="shared" si="2"/>
        <v>9884099.7194220498</v>
      </c>
    </row>
    <row r="28" spans="1:8" x14ac:dyDescent="0.2">
      <c r="A28" s="8">
        <v>42503</v>
      </c>
      <c r="B28" s="1">
        <v>361411.258975</v>
      </c>
      <c r="C28" s="1">
        <v>11120346.43</v>
      </c>
      <c r="D28" s="1">
        <v>0.13</v>
      </c>
      <c r="E28" s="1">
        <f t="shared" si="0"/>
        <v>361411.258975</v>
      </c>
      <c r="F28" s="28">
        <f>'Get Rate for Iteration 5'!$B$4</f>
        <v>0.13891995045439925</v>
      </c>
      <c r="G28" s="28">
        <f t="shared" si="1"/>
        <v>18136.598147886805</v>
      </c>
      <c r="H28" s="29">
        <f t="shared" si="2"/>
        <v>9865963.1212741621</v>
      </c>
    </row>
    <row r="29" spans="1:8" x14ac:dyDescent="0.2">
      <c r="A29" s="8">
        <v>42595</v>
      </c>
      <c r="B29" s="1">
        <v>361411.258975</v>
      </c>
      <c r="C29" s="1">
        <v>11120346.43</v>
      </c>
      <c r="D29" s="1">
        <v>0.13</v>
      </c>
      <c r="E29" s="1">
        <f t="shared" si="0"/>
        <v>361411.258975</v>
      </c>
      <c r="F29" s="28">
        <f>'Get Rate for Iteration 5'!$B$4</f>
        <v>0.13891995045439925</v>
      </c>
      <c r="G29" s="28">
        <f t="shared" si="1"/>
        <v>18766.481976915791</v>
      </c>
      <c r="H29" s="29">
        <f t="shared" si="2"/>
        <v>9847196.6392972469</v>
      </c>
    </row>
    <row r="30" spans="1:8" x14ac:dyDescent="0.2">
      <c r="A30" s="8">
        <v>42687</v>
      </c>
      <c r="B30" s="1">
        <f>+B29</f>
        <v>361411.258975</v>
      </c>
      <c r="C30" s="1">
        <v>11120346.43</v>
      </c>
      <c r="D30" s="1">
        <v>0.13</v>
      </c>
      <c r="E30" s="1">
        <f t="shared" si="0"/>
        <v>361411.258975</v>
      </c>
      <c r="F30" s="28">
        <f>'Get Rate for Iteration 5'!$B$4</f>
        <v>0.13891995045439925</v>
      </c>
      <c r="G30" s="28">
        <f t="shared" si="1"/>
        <v>19418.241663524881</v>
      </c>
      <c r="H30" s="29">
        <f t="shared" si="2"/>
        <v>9827778.3976337221</v>
      </c>
    </row>
    <row r="33" spans="2:7" x14ac:dyDescent="0.2">
      <c r="B33" s="13"/>
      <c r="C33" s="13"/>
      <c r="D33" s="13"/>
      <c r="E33" s="13"/>
    </row>
    <row r="34" spans="2:7" x14ac:dyDescent="0.2">
      <c r="B34" s="2"/>
      <c r="C34" s="2"/>
      <c r="D34" s="2"/>
      <c r="E34" s="2"/>
      <c r="F34" t="s">
        <v>33</v>
      </c>
      <c r="G34" s="2">
        <f>H30-C2</f>
        <v>-1292568.0323662776</v>
      </c>
    </row>
    <row r="36" spans="2:7" x14ac:dyDescent="0.2">
      <c r="F36" t="s">
        <v>34</v>
      </c>
      <c r="G36">
        <v>0.01</v>
      </c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C8"/>
  <sheetViews>
    <sheetView zoomScaleNormal="100" workbookViewId="0">
      <selection activeCell="E38" sqref="E38"/>
    </sheetView>
  </sheetViews>
  <sheetFormatPr defaultRowHeight="12.75" x14ac:dyDescent="0.2"/>
  <cols>
    <col min="2" max="2" width="14.5703125" bestFit="1" customWidth="1"/>
  </cols>
  <sheetData>
    <row r="1" spans="1:3" x14ac:dyDescent="0.2">
      <c r="A1" t="s">
        <v>2</v>
      </c>
    </row>
    <row r="4" spans="1:3" x14ac:dyDescent="0.2">
      <c r="A4" s="4" t="s">
        <v>5</v>
      </c>
      <c r="B4" s="25">
        <f>B5-B7*(B5-B6)/(B7-B8)</f>
        <v>0.14789247201116529</v>
      </c>
      <c r="C4" t="s">
        <v>12</v>
      </c>
    </row>
    <row r="5" spans="1:3" x14ac:dyDescent="0.2">
      <c r="A5" s="5" t="s">
        <v>3</v>
      </c>
      <c r="B5">
        <f>'Iteration 5'!F2</f>
        <v>0.13891995045439925</v>
      </c>
      <c r="C5" t="s">
        <v>8</v>
      </c>
    </row>
    <row r="6" spans="1:3" x14ac:dyDescent="0.2">
      <c r="A6" s="5" t="s">
        <v>4</v>
      </c>
      <c r="B6">
        <f>'Iteration 4 '!F2</f>
        <v>0.19466232339267814</v>
      </c>
      <c r="C6" t="s">
        <v>9</v>
      </c>
    </row>
    <row r="7" spans="1:3" x14ac:dyDescent="0.2">
      <c r="A7" s="5" t="s">
        <v>6</v>
      </c>
      <c r="B7" s="2">
        <f>'Iteration 5'!G34</f>
        <v>-1292568.0323662776</v>
      </c>
      <c r="C7" t="s">
        <v>10</v>
      </c>
    </row>
    <row r="8" spans="1:3" x14ac:dyDescent="0.2">
      <c r="A8" s="5" t="s">
        <v>7</v>
      </c>
      <c r="B8" s="2">
        <f>'Iteration 4 '!G34</f>
        <v>6737594.8212326579</v>
      </c>
      <c r="C8" t="s">
        <v>11</v>
      </c>
    </row>
  </sheetData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H36"/>
  <sheetViews>
    <sheetView workbookViewId="0">
      <selection activeCell="F2" sqref="F2:H30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5" width="14.5703125" customWidth="1"/>
    <col min="6" max="6" width="13.42578125" customWidth="1"/>
    <col min="7" max="7" width="14.85546875" customWidth="1"/>
    <col min="8" max="8" width="13.42578125" customWidth="1"/>
  </cols>
  <sheetData>
    <row r="1" spans="1:8" x14ac:dyDescent="0.2">
      <c r="A1" s="7" t="s">
        <v>13</v>
      </c>
      <c r="B1" s="7" t="s">
        <v>0</v>
      </c>
      <c r="C1" s="7" t="s">
        <v>15</v>
      </c>
      <c r="D1" s="7" t="s">
        <v>30</v>
      </c>
      <c r="E1" s="7" t="s">
        <v>32</v>
      </c>
      <c r="F1" s="7" t="s">
        <v>31</v>
      </c>
      <c r="G1" s="7" t="s">
        <v>27</v>
      </c>
      <c r="H1" s="7" t="s">
        <v>25</v>
      </c>
    </row>
    <row r="2" spans="1:8" x14ac:dyDescent="0.2">
      <c r="A2" s="8">
        <v>40130</v>
      </c>
      <c r="B2" s="1">
        <v>-10183896.199999999</v>
      </c>
      <c r="C2" s="1">
        <v>11120346.43</v>
      </c>
      <c r="D2" s="1">
        <v>0.13</v>
      </c>
      <c r="E2" s="1" t="s">
        <v>1</v>
      </c>
      <c r="F2" s="28">
        <f>'Get Rate for Iteration 6'!$B$4</f>
        <v>0.14789247201116529</v>
      </c>
      <c r="G2" s="28"/>
      <c r="H2" s="29">
        <f>+B2*-1</f>
        <v>10183896.199999999</v>
      </c>
    </row>
    <row r="3" spans="1:8" x14ac:dyDescent="0.2">
      <c r="A3" s="8">
        <v>40222</v>
      </c>
      <c r="B3" s="1">
        <v>361411.258975</v>
      </c>
      <c r="C3" s="1">
        <v>11120346.43</v>
      </c>
      <c r="D3" s="1">
        <v>0.13</v>
      </c>
      <c r="E3" s="1">
        <f>+D3*C3*0.25</f>
        <v>361411.258975</v>
      </c>
      <c r="F3" s="28">
        <f>'Get Rate for Iteration 6'!$B$4</f>
        <v>0.14789247201116529</v>
      </c>
      <c r="G3" s="28">
        <f>E3-((H2*0.25*F3))</f>
        <v>-15119.136955778114</v>
      </c>
      <c r="H3" s="29">
        <f>+H2-G3</f>
        <v>10199015.336955778</v>
      </c>
    </row>
    <row r="4" spans="1:8" x14ac:dyDescent="0.2">
      <c r="A4" s="8">
        <v>40311</v>
      </c>
      <c r="B4" s="1">
        <v>361411.258975</v>
      </c>
      <c r="C4" s="1">
        <v>11120346.43</v>
      </c>
      <c r="D4" s="1">
        <v>0.13</v>
      </c>
      <c r="E4" s="1">
        <f t="shared" ref="E4:E30" si="0">+D4*C4*0.25</f>
        <v>361411.258975</v>
      </c>
      <c r="F4" s="28">
        <f>'Get Rate for Iteration 6'!$B$4</f>
        <v>0.14789247201116529</v>
      </c>
      <c r="G4" s="28">
        <f t="shared" ref="G4:G30" si="1">E4-((H3*0.25*F4))</f>
        <v>-15678.138590544462</v>
      </c>
      <c r="H4" s="29">
        <f t="shared" ref="H4:H30" si="2">+H3-G4</f>
        <v>10214693.475546323</v>
      </c>
    </row>
    <row r="5" spans="1:8" x14ac:dyDescent="0.2">
      <c r="A5" s="8">
        <v>40403</v>
      </c>
      <c r="B5" s="1">
        <v>361411.258975</v>
      </c>
      <c r="C5" s="1">
        <v>11120346.43</v>
      </c>
      <c r="D5" s="1">
        <v>0.13</v>
      </c>
      <c r="E5" s="1">
        <f t="shared" si="0"/>
        <v>361411.258975</v>
      </c>
      <c r="F5" s="28">
        <f>'Get Rate for Iteration 6'!$B$4</f>
        <v>0.14789247201116529</v>
      </c>
      <c r="G5" s="28">
        <f t="shared" si="1"/>
        <v>-16257.808258716774</v>
      </c>
      <c r="H5" s="29">
        <f t="shared" si="2"/>
        <v>10230951.283805039</v>
      </c>
    </row>
    <row r="6" spans="1:8" x14ac:dyDescent="0.2">
      <c r="A6" s="8">
        <v>40495</v>
      </c>
      <c r="B6" s="1">
        <v>361411.258975</v>
      </c>
      <c r="C6" s="1">
        <v>11120346.43</v>
      </c>
      <c r="D6" s="1">
        <v>0.13</v>
      </c>
      <c r="E6" s="1">
        <f t="shared" si="0"/>
        <v>361411.258975</v>
      </c>
      <c r="F6" s="28">
        <f>'Get Rate for Iteration 6'!$B$4</f>
        <v>0.14789247201116529</v>
      </c>
      <c r="G6" s="28">
        <f t="shared" si="1"/>
        <v>-16858.910121933091</v>
      </c>
      <c r="H6" s="29">
        <f t="shared" si="2"/>
        <v>10247810.193926971</v>
      </c>
    </row>
    <row r="7" spans="1:8" x14ac:dyDescent="0.2">
      <c r="A7" s="8">
        <v>40587</v>
      </c>
      <c r="B7" s="1">
        <v>361411.258975</v>
      </c>
      <c r="C7" s="1">
        <v>11120346.43</v>
      </c>
      <c r="D7" s="1">
        <v>0.13</v>
      </c>
      <c r="E7" s="1">
        <f t="shared" si="0"/>
        <v>361411.258975</v>
      </c>
      <c r="F7" s="28">
        <f>'Get Rate for Iteration 6'!$B$4</f>
        <v>0.14789247201116529</v>
      </c>
      <c r="G7" s="28">
        <f t="shared" si="1"/>
        <v>-17482.236595269758</v>
      </c>
      <c r="H7" s="29">
        <f t="shared" si="2"/>
        <v>10265292.430522241</v>
      </c>
    </row>
    <row r="8" spans="1:8" x14ac:dyDescent="0.2">
      <c r="A8" s="8">
        <v>40676</v>
      </c>
      <c r="B8" s="1">
        <v>361411.258975</v>
      </c>
      <c r="C8" s="1">
        <v>11120346.43</v>
      </c>
      <c r="D8" s="1">
        <v>0.13</v>
      </c>
      <c r="E8" s="1">
        <f t="shared" si="0"/>
        <v>361411.258975</v>
      </c>
      <c r="F8" s="28">
        <f>'Get Rate for Iteration 6'!$B$4</f>
        <v>0.14789247201116529</v>
      </c>
      <c r="G8" s="28">
        <f t="shared" si="1"/>
        <v>-18128.609391859325</v>
      </c>
      <c r="H8" s="29">
        <f t="shared" si="2"/>
        <v>10283421.039914099</v>
      </c>
    </row>
    <row r="9" spans="1:8" x14ac:dyDescent="0.2">
      <c r="A9" s="8">
        <v>40768</v>
      </c>
      <c r="B9" s="1">
        <v>361411.258975</v>
      </c>
      <c r="C9" s="1">
        <v>11120346.43</v>
      </c>
      <c r="D9" s="1">
        <v>0.13</v>
      </c>
      <c r="E9" s="1">
        <f t="shared" si="0"/>
        <v>361411.258975</v>
      </c>
      <c r="F9" s="28">
        <f>'Get Rate for Iteration 6'!$B$4</f>
        <v>0.14789247201116529</v>
      </c>
      <c r="G9" s="28">
        <f t="shared" si="1"/>
        <v>-18798.880606131046</v>
      </c>
      <c r="H9" s="29">
        <f t="shared" si="2"/>
        <v>10302219.920520231</v>
      </c>
    </row>
    <row r="10" spans="1:8" x14ac:dyDescent="0.2">
      <c r="A10" s="8">
        <v>40860</v>
      </c>
      <c r="B10" s="1">
        <v>361411.258975</v>
      </c>
      <c r="C10" s="1">
        <v>11120346.43</v>
      </c>
      <c r="D10" s="1">
        <v>0.13</v>
      </c>
      <c r="E10" s="1">
        <f t="shared" si="0"/>
        <v>361411.258975</v>
      </c>
      <c r="F10" s="28">
        <f>'Get Rate for Iteration 6'!$B$4</f>
        <v>0.14789247201116529</v>
      </c>
      <c r="G10" s="28">
        <f t="shared" si="1"/>
        <v>-19493.933837101911</v>
      </c>
      <c r="H10" s="29">
        <f t="shared" si="2"/>
        <v>10321713.854357334</v>
      </c>
    </row>
    <row r="11" spans="1:8" x14ac:dyDescent="0.2">
      <c r="A11" s="8">
        <v>40952</v>
      </c>
      <c r="B11" s="1">
        <v>361411.258975</v>
      </c>
      <c r="C11" s="1">
        <v>11120346.43</v>
      </c>
      <c r="D11" s="1">
        <v>0.13</v>
      </c>
      <c r="E11" s="1">
        <f t="shared" si="0"/>
        <v>361411.258975</v>
      </c>
      <c r="F11" s="28">
        <f>'Get Rate for Iteration 6'!$B$4</f>
        <v>0.14789247201116529</v>
      </c>
      <c r="G11" s="28">
        <f t="shared" si="1"/>
        <v>-20214.685353199719</v>
      </c>
      <c r="H11" s="29">
        <f t="shared" si="2"/>
        <v>10341928.539710533</v>
      </c>
    </row>
    <row r="12" spans="1:8" x14ac:dyDescent="0.2">
      <c r="A12" s="8">
        <v>41042</v>
      </c>
      <c r="B12" s="1">
        <v>361411.258975</v>
      </c>
      <c r="C12" s="1">
        <v>11120346.43</v>
      </c>
      <c r="D12" s="1">
        <v>0.13</v>
      </c>
      <c r="E12" s="1">
        <f t="shared" si="0"/>
        <v>361411.258975</v>
      </c>
      <c r="F12" s="28">
        <f>'Get Rate for Iteration 6'!$B$4</f>
        <v>0.14789247201116529</v>
      </c>
      <c r="G12" s="28">
        <f t="shared" si="1"/>
        <v>-20962.085300152889</v>
      </c>
      <c r="H12" s="29">
        <f t="shared" si="2"/>
        <v>10362890.625010686</v>
      </c>
    </row>
    <row r="13" spans="1:8" x14ac:dyDescent="0.2">
      <c r="A13" s="8">
        <v>41134</v>
      </c>
      <c r="B13" s="1">
        <v>361411.258975</v>
      </c>
      <c r="C13" s="1">
        <v>11120346.43</v>
      </c>
      <c r="D13" s="1">
        <v>0.13</v>
      </c>
      <c r="E13" s="1">
        <f t="shared" si="0"/>
        <v>361411.258975</v>
      </c>
      <c r="F13" s="28">
        <f>'Get Rate for Iteration 6'!$B$4</f>
        <v>0.14789247201116529</v>
      </c>
      <c r="G13" s="28">
        <f t="shared" si="1"/>
        <v>-21737.11895353999</v>
      </c>
      <c r="H13" s="29">
        <f t="shared" si="2"/>
        <v>10384627.743964225</v>
      </c>
    </row>
    <row r="14" spans="1:8" x14ac:dyDescent="0.2">
      <c r="A14" s="8">
        <v>41226</v>
      </c>
      <c r="B14" s="1">
        <v>361411.258975</v>
      </c>
      <c r="C14" s="1">
        <v>11120346.43</v>
      </c>
      <c r="D14" s="1">
        <v>0.13</v>
      </c>
      <c r="E14" s="1">
        <f t="shared" si="0"/>
        <v>361411.258975</v>
      </c>
      <c r="F14" s="28">
        <f>'Get Rate for Iteration 6'!$B$4</f>
        <v>0.14789247201116529</v>
      </c>
      <c r="G14" s="28">
        <f t="shared" si="1"/>
        <v>-22540.808017649921</v>
      </c>
      <c r="H14" s="29">
        <f t="shared" si="2"/>
        <v>10407168.551981876</v>
      </c>
    </row>
    <row r="15" spans="1:8" x14ac:dyDescent="0.2">
      <c r="A15" s="8">
        <v>41318</v>
      </c>
      <c r="B15" s="1">
        <v>361411.258975</v>
      </c>
      <c r="C15" s="1">
        <v>11120346.43</v>
      </c>
      <c r="D15" s="1">
        <v>0.13</v>
      </c>
      <c r="E15" s="1">
        <f t="shared" si="0"/>
        <v>361411.258975</v>
      </c>
      <c r="F15" s="28">
        <f>'Get Rate for Iteration 6'!$B$4</f>
        <v>0.14789247201116529</v>
      </c>
      <c r="G15" s="28">
        <f t="shared" si="1"/>
        <v>-23374.211972364748</v>
      </c>
      <c r="H15" s="29">
        <f t="shared" si="2"/>
        <v>10430542.763954241</v>
      </c>
    </row>
    <row r="16" spans="1:8" x14ac:dyDescent="0.2">
      <c r="A16" s="8">
        <v>41407</v>
      </c>
      <c r="B16" s="1">
        <v>361411.258975</v>
      </c>
      <c r="C16" s="1">
        <v>11120346.43</v>
      </c>
      <c r="D16" s="1">
        <v>0.13</v>
      </c>
      <c r="E16" s="1">
        <f t="shared" si="0"/>
        <v>361411.258975</v>
      </c>
      <c r="F16" s="28">
        <f>'Get Rate for Iteration 6'!$B$4</f>
        <v>0.14789247201116529</v>
      </c>
      <c r="G16" s="28">
        <f t="shared" si="1"/>
        <v>-24238.4294698413</v>
      </c>
      <c r="H16" s="29">
        <f t="shared" si="2"/>
        <v>10454781.193424081</v>
      </c>
    </row>
    <row r="17" spans="1:8" x14ac:dyDescent="0.2">
      <c r="A17" s="8">
        <v>41499</v>
      </c>
      <c r="B17" s="1">
        <v>361411.258975</v>
      </c>
      <c r="C17" s="1">
        <v>11120346.43</v>
      </c>
      <c r="D17" s="1">
        <v>0.13</v>
      </c>
      <c r="E17" s="1">
        <f t="shared" si="0"/>
        <v>361411.258975</v>
      </c>
      <c r="F17" s="28">
        <f>'Get Rate for Iteration 6'!$B$4</f>
        <v>0.14789247201116529</v>
      </c>
      <c r="G17" s="28">
        <f t="shared" si="1"/>
        <v>-25134.599782832025</v>
      </c>
      <c r="H17" s="29">
        <f t="shared" si="2"/>
        <v>10479915.793206913</v>
      </c>
    </row>
    <row r="18" spans="1:8" x14ac:dyDescent="0.2">
      <c r="A18" s="8">
        <v>41591</v>
      </c>
      <c r="B18" s="1">
        <v>361411.258975</v>
      </c>
      <c r="C18" s="1">
        <v>11120346.43</v>
      </c>
      <c r="D18" s="1">
        <v>0.13</v>
      </c>
      <c r="E18" s="1">
        <f t="shared" si="0"/>
        <v>361411.258975</v>
      </c>
      <c r="F18" s="28">
        <f>'Get Rate for Iteration 6'!$B$4</f>
        <v>0.14789247201116529</v>
      </c>
      <c r="G18" s="28">
        <f t="shared" si="1"/>
        <v>-26063.904306555633</v>
      </c>
      <c r="H18" s="29">
        <f t="shared" si="2"/>
        <v>10505979.697513469</v>
      </c>
    </row>
    <row r="19" spans="1:8" x14ac:dyDescent="0.2">
      <c r="A19" s="8">
        <v>41683</v>
      </c>
      <c r="B19" s="1">
        <v>361411.258975</v>
      </c>
      <c r="C19" s="1">
        <v>11120346.43</v>
      </c>
      <c r="D19" s="1">
        <v>0.13</v>
      </c>
      <c r="E19" s="1">
        <f t="shared" si="0"/>
        <v>361411.258975</v>
      </c>
      <c r="F19" s="28">
        <f>'Get Rate for Iteration 6'!$B$4</f>
        <v>0.14789247201116529</v>
      </c>
      <c r="G19" s="28">
        <f t="shared" si="1"/>
        <v>-27027.568116095325</v>
      </c>
      <c r="H19" s="29">
        <f t="shared" si="2"/>
        <v>10533007.265629563</v>
      </c>
    </row>
    <row r="20" spans="1:8" x14ac:dyDescent="0.2">
      <c r="A20" s="8">
        <v>41772</v>
      </c>
      <c r="B20" s="1">
        <v>361411.258975</v>
      </c>
      <c r="C20" s="1">
        <v>11120346.43</v>
      </c>
      <c r="D20" s="1">
        <v>0.13</v>
      </c>
      <c r="E20" s="1">
        <f t="shared" si="0"/>
        <v>361411.258975</v>
      </c>
      <c r="F20" s="28">
        <f>'Get Rate for Iteration 6'!$B$4</f>
        <v>0.14789247201116529</v>
      </c>
      <c r="G20" s="28">
        <f t="shared" si="1"/>
        <v>-28026.861581380188</v>
      </c>
      <c r="H20" s="29">
        <f t="shared" si="2"/>
        <v>10561034.127210943</v>
      </c>
    </row>
    <row r="21" spans="1:8" x14ac:dyDescent="0.2">
      <c r="A21" s="8">
        <v>41864</v>
      </c>
      <c r="B21" s="1">
        <v>361411.258975</v>
      </c>
      <c r="C21" s="1">
        <v>11120346.43</v>
      </c>
      <c r="D21" s="1">
        <v>0.13</v>
      </c>
      <c r="E21" s="1">
        <f t="shared" si="0"/>
        <v>361411.258975</v>
      </c>
      <c r="F21" s="28">
        <f>'Get Rate for Iteration 6'!$B$4</f>
        <v>0.14789247201116529</v>
      </c>
      <c r="G21" s="28">
        <f t="shared" si="1"/>
        <v>-29063.102041876467</v>
      </c>
      <c r="H21" s="29">
        <f t="shared" si="2"/>
        <v>10590097.229252819</v>
      </c>
    </row>
    <row r="22" spans="1:8" x14ac:dyDescent="0.2">
      <c r="A22" s="8">
        <v>41956</v>
      </c>
      <c r="B22" s="1">
        <v>361411.258975</v>
      </c>
      <c r="C22" s="1">
        <v>11120346.43</v>
      </c>
      <c r="D22" s="1">
        <v>0.13</v>
      </c>
      <c r="E22" s="1">
        <f t="shared" si="0"/>
        <v>361411.258975</v>
      </c>
      <c r="F22" s="28">
        <f>'Get Rate for Iteration 6'!$B$4</f>
        <v>0.14789247201116529</v>
      </c>
      <c r="G22" s="28">
        <f t="shared" si="1"/>
        <v>-30137.655543197878</v>
      </c>
      <c r="H22" s="29">
        <f t="shared" si="2"/>
        <v>10620234.884796016</v>
      </c>
    </row>
    <row r="23" spans="1:8" x14ac:dyDescent="0.2">
      <c r="A23" s="8">
        <v>42048</v>
      </c>
      <c r="B23" s="1">
        <v>361411.258975</v>
      </c>
      <c r="C23" s="1">
        <v>11120346.43</v>
      </c>
      <c r="D23" s="1">
        <v>0.13</v>
      </c>
      <c r="E23" s="1">
        <f t="shared" si="0"/>
        <v>361411.258975</v>
      </c>
      <c r="F23" s="28">
        <f>'Get Rate for Iteration 6'!$B$4</f>
        <v>0.14789247201116529</v>
      </c>
      <c r="G23" s="28">
        <f t="shared" si="1"/>
        <v>-31251.938637923973</v>
      </c>
      <c r="H23" s="29">
        <f t="shared" si="2"/>
        <v>10651486.823433939</v>
      </c>
    </row>
    <row r="24" spans="1:8" x14ac:dyDescent="0.2">
      <c r="A24" s="8">
        <v>42137</v>
      </c>
      <c r="B24" s="1">
        <v>361411.258975</v>
      </c>
      <c r="C24" s="1">
        <v>11120346.43</v>
      </c>
      <c r="D24" s="1">
        <v>0.13</v>
      </c>
      <c r="E24" s="1">
        <f t="shared" si="0"/>
        <v>361411.258975</v>
      </c>
      <c r="F24" s="28">
        <f>'Get Rate for Iteration 6'!$B$4</f>
        <v>0.14789247201116529</v>
      </c>
      <c r="G24" s="28">
        <f t="shared" si="1"/>
        <v>-32407.420252999931</v>
      </c>
      <c r="H24" s="29">
        <f t="shared" si="2"/>
        <v>10683894.243686939</v>
      </c>
    </row>
    <row r="25" spans="1:8" x14ac:dyDescent="0.2">
      <c r="A25" s="8">
        <v>42229</v>
      </c>
      <c r="B25" s="1">
        <v>361411.258975</v>
      </c>
      <c r="C25" s="1">
        <v>11120346.43</v>
      </c>
      <c r="D25" s="1">
        <v>0.13</v>
      </c>
      <c r="E25" s="1">
        <f t="shared" si="0"/>
        <v>361411.258975</v>
      </c>
      <c r="F25" s="28">
        <f>'Get Rate for Iteration 6'!$B$4</f>
        <v>0.14789247201116529</v>
      </c>
      <c r="G25" s="28">
        <f t="shared" si="1"/>
        <v>-33605.62362618011</v>
      </c>
      <c r="H25" s="29">
        <f t="shared" si="2"/>
        <v>10717499.867313119</v>
      </c>
    </row>
    <row r="26" spans="1:8" x14ac:dyDescent="0.2">
      <c r="A26" s="8">
        <v>42321</v>
      </c>
      <c r="B26" s="1">
        <v>361411.258975</v>
      </c>
      <c r="C26" s="1">
        <v>11120346.43</v>
      </c>
      <c r="D26" s="1">
        <v>0.13</v>
      </c>
      <c r="E26" s="1">
        <f t="shared" si="0"/>
        <v>361411.258975</v>
      </c>
      <c r="F26" s="28">
        <f>'Get Rate for Iteration 6'!$B$4</f>
        <v>0.14789247201116529</v>
      </c>
      <c r="G26" s="28">
        <f t="shared" si="1"/>
        <v>-34848.12831406825</v>
      </c>
      <c r="H26" s="29">
        <f t="shared" si="2"/>
        <v>10752347.995627187</v>
      </c>
    </row>
    <row r="27" spans="1:8" x14ac:dyDescent="0.2">
      <c r="A27" s="8">
        <v>42413</v>
      </c>
      <c r="B27" s="1">
        <v>361411.258975</v>
      </c>
      <c r="C27" s="1">
        <v>11120346.43</v>
      </c>
      <c r="D27" s="1">
        <v>0.13</v>
      </c>
      <c r="E27" s="1">
        <f t="shared" si="0"/>
        <v>361411.258975</v>
      </c>
      <c r="F27" s="28">
        <f>'Get Rate for Iteration 6'!$B$4</f>
        <v>0.14789247201116529</v>
      </c>
      <c r="G27" s="28">
        <f t="shared" si="1"/>
        <v>-36136.572274400736</v>
      </c>
      <c r="H27" s="29">
        <f t="shared" si="2"/>
        <v>10788484.567901587</v>
      </c>
    </row>
    <row r="28" spans="1:8" x14ac:dyDescent="0.2">
      <c r="A28" s="8">
        <v>42503</v>
      </c>
      <c r="B28" s="1">
        <v>361411.258975</v>
      </c>
      <c r="C28" s="1">
        <v>11120346.43</v>
      </c>
      <c r="D28" s="1">
        <v>0.13</v>
      </c>
      <c r="E28" s="1">
        <f t="shared" si="0"/>
        <v>361411.258975</v>
      </c>
      <c r="F28" s="28">
        <f>'Get Rate for Iteration 6'!$B$4</f>
        <v>0.14789247201116529</v>
      </c>
      <c r="G28" s="28">
        <f t="shared" si="1"/>
        <v>-37472.654025318509</v>
      </c>
      <c r="H28" s="29">
        <f t="shared" si="2"/>
        <v>10825957.221926905</v>
      </c>
    </row>
    <row r="29" spans="1:8" x14ac:dyDescent="0.2">
      <c r="A29" s="8">
        <v>42595</v>
      </c>
      <c r="B29" s="1">
        <v>361411.258975</v>
      </c>
      <c r="C29" s="1">
        <v>11120346.43</v>
      </c>
      <c r="D29" s="1">
        <v>0.13</v>
      </c>
      <c r="E29" s="1">
        <f t="shared" si="0"/>
        <v>361411.258975</v>
      </c>
      <c r="F29" s="28">
        <f>'Get Rate for Iteration 6'!$B$4</f>
        <v>0.14789247201116529</v>
      </c>
      <c r="G29" s="28">
        <f t="shared" si="1"/>
        <v>-38858.134884474392</v>
      </c>
      <c r="H29" s="29">
        <f t="shared" si="2"/>
        <v>10864815.35681138</v>
      </c>
    </row>
    <row r="30" spans="1:8" x14ac:dyDescent="0.2">
      <c r="A30" s="8">
        <v>42687</v>
      </c>
      <c r="B30" s="1">
        <f>+B29</f>
        <v>361411.258975</v>
      </c>
      <c r="C30" s="1">
        <v>11120346.43</v>
      </c>
      <c r="D30" s="1">
        <v>0.13</v>
      </c>
      <c r="E30" s="1">
        <f t="shared" si="0"/>
        <v>361411.258975</v>
      </c>
      <c r="F30" s="28">
        <f>'Get Rate for Iteration 6'!$B$4</f>
        <v>0.14789247201116529</v>
      </c>
      <c r="G30" s="28">
        <f t="shared" si="1"/>
        <v>-40294.841290926444</v>
      </c>
      <c r="H30" s="29">
        <f t="shared" si="2"/>
        <v>10905110.198102307</v>
      </c>
    </row>
    <row r="33" spans="2:7" x14ac:dyDescent="0.2">
      <c r="B33" s="13"/>
      <c r="C33" s="13"/>
      <c r="D33" s="13"/>
      <c r="E33" s="13"/>
    </row>
    <row r="34" spans="2:7" x14ac:dyDescent="0.2">
      <c r="B34" s="2"/>
      <c r="C34" s="2"/>
      <c r="D34" s="2"/>
      <c r="E34" s="2"/>
      <c r="F34" t="s">
        <v>33</v>
      </c>
      <c r="G34" s="2">
        <f>H30-C2</f>
        <v>-215236.23189769313</v>
      </c>
    </row>
    <row r="36" spans="2:7" x14ac:dyDescent="0.2">
      <c r="F36" t="s">
        <v>34</v>
      </c>
      <c r="G36">
        <v>0.01</v>
      </c>
    </row>
  </sheetData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C8"/>
  <sheetViews>
    <sheetView workbookViewId="0">
      <selection activeCell="L41" sqref="L41"/>
    </sheetView>
  </sheetViews>
  <sheetFormatPr defaultRowHeight="12.75" x14ac:dyDescent="0.2"/>
  <cols>
    <col min="2" max="2" width="14.5703125" bestFit="1" customWidth="1"/>
  </cols>
  <sheetData>
    <row r="1" spans="1:3" x14ac:dyDescent="0.2">
      <c r="A1" t="s">
        <v>2</v>
      </c>
    </row>
    <row r="4" spans="1:3" x14ac:dyDescent="0.2">
      <c r="A4" s="4" t="s">
        <v>5</v>
      </c>
      <c r="B4" s="25">
        <f>B5-B7*(B5-B6)/(B7-B8)</f>
        <v>0.14968505970760121</v>
      </c>
      <c r="C4" t="s">
        <v>12</v>
      </c>
    </row>
    <row r="5" spans="1:3" x14ac:dyDescent="0.2">
      <c r="A5" s="5" t="s">
        <v>3</v>
      </c>
      <c r="B5">
        <f>'Iteration 6'!F2</f>
        <v>0.14789247201116529</v>
      </c>
      <c r="C5" t="s">
        <v>8</v>
      </c>
    </row>
    <row r="6" spans="1:3" x14ac:dyDescent="0.2">
      <c r="A6" s="5" t="s">
        <v>4</v>
      </c>
      <c r="B6">
        <f>'Iteration 5'!F2</f>
        <v>0.13891995045439925</v>
      </c>
      <c r="C6" t="s">
        <v>9</v>
      </c>
    </row>
    <row r="7" spans="1:3" x14ac:dyDescent="0.2">
      <c r="A7" s="5" t="s">
        <v>6</v>
      </c>
      <c r="B7" s="2">
        <f>'Iteration 6'!G34</f>
        <v>-215236.23189769313</v>
      </c>
      <c r="C7" t="s">
        <v>10</v>
      </c>
    </row>
    <row r="8" spans="1:3" x14ac:dyDescent="0.2">
      <c r="A8" s="5" t="s">
        <v>7</v>
      </c>
      <c r="B8" s="2">
        <f>'Iteration 5'!G34</f>
        <v>-1292568.0323662776</v>
      </c>
      <c r="C8" t="s">
        <v>11</v>
      </c>
    </row>
  </sheetData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H36"/>
  <sheetViews>
    <sheetView workbookViewId="0">
      <selection activeCell="E30" sqref="A2:E30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5" width="14.5703125" customWidth="1"/>
    <col min="6" max="6" width="13.42578125" customWidth="1"/>
    <col min="7" max="7" width="14.85546875" customWidth="1"/>
    <col min="8" max="8" width="13.42578125" customWidth="1"/>
  </cols>
  <sheetData>
    <row r="1" spans="1:8" x14ac:dyDescent="0.2">
      <c r="A1" s="7" t="s">
        <v>13</v>
      </c>
      <c r="B1" s="7" t="s">
        <v>0</v>
      </c>
      <c r="C1" s="7" t="s">
        <v>15</v>
      </c>
      <c r="D1" s="7" t="s">
        <v>30</v>
      </c>
      <c r="E1" s="7" t="s">
        <v>32</v>
      </c>
      <c r="F1" s="7" t="s">
        <v>31</v>
      </c>
      <c r="G1" s="7" t="s">
        <v>27</v>
      </c>
      <c r="H1" s="7" t="s">
        <v>25</v>
      </c>
    </row>
    <row r="2" spans="1:8" x14ac:dyDescent="0.2">
      <c r="A2" s="31">
        <v>40130</v>
      </c>
      <c r="B2" s="32">
        <v>-10183896.199999999</v>
      </c>
      <c r="C2" s="32">
        <v>11120346.43</v>
      </c>
      <c r="D2" s="32">
        <v>0.13</v>
      </c>
      <c r="E2" s="32" t="s">
        <v>1</v>
      </c>
      <c r="F2" s="28">
        <f>'Get Rate for Iteration 7 '!$B$4</f>
        <v>0.14968505970760121</v>
      </c>
      <c r="G2" s="28"/>
      <c r="H2" s="29">
        <f>+B2*-1</f>
        <v>10183896.199999999</v>
      </c>
    </row>
    <row r="3" spans="1:8" x14ac:dyDescent="0.2">
      <c r="A3" s="31">
        <v>40222</v>
      </c>
      <c r="B3" s="32">
        <v>361411.258975</v>
      </c>
      <c r="C3" s="32">
        <v>11120346.43</v>
      </c>
      <c r="D3" s="32">
        <v>0.13</v>
      </c>
      <c r="E3" s="32">
        <f>+D3*C3*0.25</f>
        <v>361411.258975</v>
      </c>
      <c r="F3" s="28">
        <f>'Get Rate for Iteration 7 '!$B$4</f>
        <v>0.14968505970760121</v>
      </c>
      <c r="G3" s="28">
        <f>E3-((H2*0.25*F3))</f>
        <v>-19683.018713253259</v>
      </c>
      <c r="H3" s="29">
        <f>+H2-G3</f>
        <v>10203579.218713252</v>
      </c>
    </row>
    <row r="4" spans="1:8" x14ac:dyDescent="0.2">
      <c r="A4" s="31">
        <v>40311</v>
      </c>
      <c r="B4" s="32">
        <v>361411.258975</v>
      </c>
      <c r="C4" s="32">
        <v>11120346.43</v>
      </c>
      <c r="D4" s="32">
        <v>0.13</v>
      </c>
      <c r="E4" s="32">
        <f t="shared" ref="E4:E30" si="0">+D4*C4*0.25</f>
        <v>361411.258975</v>
      </c>
      <c r="F4" s="28">
        <f>'Get Rate for Iteration 7 '!$B$4</f>
        <v>0.14968505970760121</v>
      </c>
      <c r="G4" s="28">
        <f t="shared" ref="G4:G30" si="1">E4-((H3*0.25*F4))</f>
        <v>-20419.582171083021</v>
      </c>
      <c r="H4" s="29">
        <f t="shared" ref="H4:H30" si="2">+H3-G4</f>
        <v>10223998.800884334</v>
      </c>
    </row>
    <row r="5" spans="1:8" x14ac:dyDescent="0.2">
      <c r="A5" s="31">
        <v>40403</v>
      </c>
      <c r="B5" s="32">
        <v>361411.258975</v>
      </c>
      <c r="C5" s="32">
        <v>11120346.43</v>
      </c>
      <c r="D5" s="32">
        <v>0.13</v>
      </c>
      <c r="E5" s="32">
        <f t="shared" si="0"/>
        <v>361411.258975</v>
      </c>
      <c r="F5" s="28">
        <f>'Get Rate for Iteration 7 '!$B$4</f>
        <v>0.14968505970760121</v>
      </c>
      <c r="G5" s="28">
        <f t="shared" si="1"/>
        <v>-21183.708765203657</v>
      </c>
      <c r="H5" s="29">
        <f t="shared" si="2"/>
        <v>10245182.509649538</v>
      </c>
    </row>
    <row r="6" spans="1:8" x14ac:dyDescent="0.2">
      <c r="A6" s="31">
        <v>40495</v>
      </c>
      <c r="B6" s="32">
        <v>361411.258975</v>
      </c>
      <c r="C6" s="32">
        <v>11120346.43</v>
      </c>
      <c r="D6" s="32">
        <v>0.13</v>
      </c>
      <c r="E6" s="32">
        <f t="shared" si="0"/>
        <v>361411.258975</v>
      </c>
      <c r="F6" s="28">
        <f>'Get Rate for Iteration 7 '!$B$4</f>
        <v>0.14968505970760121</v>
      </c>
      <c r="G6" s="28">
        <f t="shared" si="1"/>
        <v>-21976.429943040654</v>
      </c>
      <c r="H6" s="29">
        <f t="shared" si="2"/>
        <v>10267158.939592578</v>
      </c>
    </row>
    <row r="7" spans="1:8" x14ac:dyDescent="0.2">
      <c r="A7" s="31">
        <v>40587</v>
      </c>
      <c r="B7" s="32">
        <v>361411.258975</v>
      </c>
      <c r="C7" s="32">
        <v>11120346.43</v>
      </c>
      <c r="D7" s="32">
        <v>0.13</v>
      </c>
      <c r="E7" s="32">
        <f t="shared" si="0"/>
        <v>361411.258975</v>
      </c>
      <c r="F7" s="28">
        <f>'Get Rate for Iteration 7 '!$B$4</f>
        <v>0.14968505970760121</v>
      </c>
      <c r="G7" s="28">
        <f t="shared" si="1"/>
        <v>-22798.815750086622</v>
      </c>
      <c r="H7" s="29">
        <f t="shared" si="2"/>
        <v>10289957.755342664</v>
      </c>
    </row>
    <row r="8" spans="1:8" x14ac:dyDescent="0.2">
      <c r="A8" s="31">
        <v>40676</v>
      </c>
      <c r="B8" s="32">
        <v>361411.258975</v>
      </c>
      <c r="C8" s="32">
        <v>11120346.43</v>
      </c>
      <c r="D8" s="32">
        <v>0.13</v>
      </c>
      <c r="E8" s="32">
        <f t="shared" si="0"/>
        <v>361411.258975</v>
      </c>
      <c r="F8" s="28">
        <f>'Get Rate for Iteration 7 '!$B$4</f>
        <v>0.14968505970760121</v>
      </c>
      <c r="G8" s="28">
        <f t="shared" si="1"/>
        <v>-23651.97627429018</v>
      </c>
      <c r="H8" s="29">
        <f t="shared" si="2"/>
        <v>10313609.731616955</v>
      </c>
    </row>
    <row r="9" spans="1:8" x14ac:dyDescent="0.2">
      <c r="A9" s="31">
        <v>40768</v>
      </c>
      <c r="B9" s="32">
        <v>361411.258975</v>
      </c>
      <c r="C9" s="32">
        <v>11120346.43</v>
      </c>
      <c r="D9" s="32">
        <v>0.13</v>
      </c>
      <c r="E9" s="32">
        <f t="shared" si="0"/>
        <v>361411.258975</v>
      </c>
      <c r="F9" s="28">
        <f>'Get Rate for Iteration 7 '!$B$4</f>
        <v>0.14968505970760121</v>
      </c>
      <c r="G9" s="28">
        <f t="shared" si="1"/>
        <v>-24537.063144495187</v>
      </c>
      <c r="H9" s="29">
        <f t="shared" si="2"/>
        <v>10338146.794761451</v>
      </c>
    </row>
    <row r="10" spans="1:8" x14ac:dyDescent="0.2">
      <c r="A10" s="31">
        <v>40860</v>
      </c>
      <c r="B10" s="32">
        <v>361411.258975</v>
      </c>
      <c r="C10" s="32">
        <v>11120346.43</v>
      </c>
      <c r="D10" s="32">
        <v>0.13</v>
      </c>
      <c r="E10" s="32">
        <f t="shared" si="0"/>
        <v>361411.258975</v>
      </c>
      <c r="F10" s="28">
        <f>'Get Rate for Iteration 7 '!$B$4</f>
        <v>0.14968505970760121</v>
      </c>
      <c r="G10" s="28">
        <f t="shared" si="1"/>
        <v>-25455.271084953449</v>
      </c>
      <c r="H10" s="29">
        <f t="shared" si="2"/>
        <v>10363602.065846404</v>
      </c>
    </row>
    <row r="11" spans="1:8" x14ac:dyDescent="0.2">
      <c r="A11" s="31">
        <v>40952</v>
      </c>
      <c r="B11" s="32">
        <v>361411.258975</v>
      </c>
      <c r="C11" s="32">
        <v>11120346.43</v>
      </c>
      <c r="D11" s="32">
        <v>0.13</v>
      </c>
      <c r="E11" s="32">
        <f t="shared" si="0"/>
        <v>361411.258975</v>
      </c>
      <c r="F11" s="28">
        <f>'Get Rate for Iteration 7 '!$B$4</f>
        <v>0.14968505970760121</v>
      </c>
      <c r="G11" s="28">
        <f t="shared" si="1"/>
        <v>-26407.839528009528</v>
      </c>
      <c r="H11" s="29">
        <f t="shared" si="2"/>
        <v>10390009.905374413</v>
      </c>
    </row>
    <row r="12" spans="1:8" x14ac:dyDescent="0.2">
      <c r="A12" s="31">
        <v>41042</v>
      </c>
      <c r="B12" s="32">
        <v>361411.258975</v>
      </c>
      <c r="C12" s="32">
        <v>11120346.43</v>
      </c>
      <c r="D12" s="32">
        <v>0.13</v>
      </c>
      <c r="E12" s="32">
        <f t="shared" si="0"/>
        <v>361411.258975</v>
      </c>
      <c r="F12" s="28">
        <f>'Get Rate for Iteration 7 '!$B$4</f>
        <v>0.14968505970760121</v>
      </c>
      <c r="G12" s="28">
        <f t="shared" si="1"/>
        <v>-27396.054287134262</v>
      </c>
      <c r="H12" s="29">
        <f t="shared" si="2"/>
        <v>10417405.959661547</v>
      </c>
    </row>
    <row r="13" spans="1:8" x14ac:dyDescent="0.2">
      <c r="A13" s="31">
        <v>41134</v>
      </c>
      <c r="B13" s="32">
        <v>361411.258975</v>
      </c>
      <c r="C13" s="32">
        <v>11120346.43</v>
      </c>
      <c r="D13" s="32">
        <v>0.13</v>
      </c>
      <c r="E13" s="32">
        <f t="shared" si="0"/>
        <v>361411.258975</v>
      </c>
      <c r="F13" s="28">
        <f>'Get Rate for Iteration 7 '!$B$4</f>
        <v>0.14968505970760121</v>
      </c>
      <c r="G13" s="28">
        <f t="shared" si="1"/>
        <v>-28421.249292564811</v>
      </c>
      <c r="H13" s="29">
        <f t="shared" si="2"/>
        <v>10445827.208954113</v>
      </c>
    </row>
    <row r="14" spans="1:8" x14ac:dyDescent="0.2">
      <c r="A14" s="31">
        <v>41226</v>
      </c>
      <c r="B14" s="32">
        <v>361411.258975</v>
      </c>
      <c r="C14" s="32">
        <v>11120346.43</v>
      </c>
      <c r="D14" s="32">
        <v>0.13</v>
      </c>
      <c r="E14" s="32">
        <f t="shared" si="0"/>
        <v>361411.258975</v>
      </c>
      <c r="F14" s="28">
        <f>'Get Rate for Iteration 7 '!$B$4</f>
        <v>0.14968505970760121</v>
      </c>
      <c r="G14" s="28">
        <f t="shared" si="1"/>
        <v>-29484.808391895378</v>
      </c>
      <c r="H14" s="29">
        <f t="shared" si="2"/>
        <v>10475312.017346008</v>
      </c>
    </row>
    <row r="15" spans="1:8" x14ac:dyDescent="0.2">
      <c r="A15" s="31">
        <v>41318</v>
      </c>
      <c r="B15" s="32">
        <v>361411.258975</v>
      </c>
      <c r="C15" s="32">
        <v>11120346.43</v>
      </c>
      <c r="D15" s="32">
        <v>0.13</v>
      </c>
      <c r="E15" s="32">
        <f t="shared" si="0"/>
        <v>361411.258975</v>
      </c>
      <c r="F15" s="28">
        <f>'Get Rate for Iteration 7 '!$B$4</f>
        <v>0.14968505970760121</v>
      </c>
      <c r="G15" s="28">
        <f t="shared" si="1"/>
        <v>-30588.167218047427</v>
      </c>
      <c r="H15" s="29">
        <f t="shared" si="2"/>
        <v>10505900.184564056</v>
      </c>
    </row>
    <row r="16" spans="1:8" x14ac:dyDescent="0.2">
      <c r="A16" s="31">
        <v>41407</v>
      </c>
      <c r="B16" s="32">
        <v>361411.258975</v>
      </c>
      <c r="C16" s="32">
        <v>11120346.43</v>
      </c>
      <c r="D16" s="32">
        <v>0.13</v>
      </c>
      <c r="E16" s="32">
        <f t="shared" si="0"/>
        <v>361411.258975</v>
      </c>
      <c r="F16" s="28">
        <f>'Get Rate for Iteration 7 '!$B$4</f>
        <v>0.14968505970760121</v>
      </c>
      <c r="G16" s="28">
        <f t="shared" si="1"/>
        <v>-31732.815127142298</v>
      </c>
      <c r="H16" s="29">
        <f t="shared" si="2"/>
        <v>10537632.999691198</v>
      </c>
    </row>
    <row r="17" spans="1:8" x14ac:dyDescent="0.2">
      <c r="A17" s="31">
        <v>41499</v>
      </c>
      <c r="B17" s="32">
        <v>361411.258975</v>
      </c>
      <c r="C17" s="32">
        <v>11120346.43</v>
      </c>
      <c r="D17" s="32">
        <v>0.13</v>
      </c>
      <c r="E17" s="32">
        <f t="shared" si="0"/>
        <v>361411.258975</v>
      </c>
      <c r="F17" s="28">
        <f>'Get Rate for Iteration 7 '!$B$4</f>
        <v>0.14968505970760121</v>
      </c>
      <c r="G17" s="28">
        <f t="shared" si="1"/>
        <v>-32920.297208891425</v>
      </c>
      <c r="H17" s="29">
        <f t="shared" si="2"/>
        <v>10570553.29690009</v>
      </c>
    </row>
    <row r="18" spans="1:8" x14ac:dyDescent="0.2">
      <c r="A18" s="31">
        <v>41591</v>
      </c>
      <c r="B18" s="32">
        <v>361411.258975</v>
      </c>
      <c r="C18" s="32">
        <v>11120346.43</v>
      </c>
      <c r="D18" s="32">
        <v>0.13</v>
      </c>
      <c r="E18" s="32">
        <f t="shared" si="0"/>
        <v>361411.258975</v>
      </c>
      <c r="F18" s="28">
        <f>'Get Rate for Iteration 7 '!$B$4</f>
        <v>0.14968505970760121</v>
      </c>
      <c r="G18" s="28">
        <f t="shared" si="1"/>
        <v>-34152.216372217692</v>
      </c>
      <c r="H18" s="29">
        <f t="shared" si="2"/>
        <v>10604705.513272308</v>
      </c>
    </row>
    <row r="19" spans="1:8" x14ac:dyDescent="0.2">
      <c r="A19" s="31">
        <v>41683</v>
      </c>
      <c r="B19" s="32">
        <v>361411.258975</v>
      </c>
      <c r="C19" s="32">
        <v>11120346.43</v>
      </c>
      <c r="D19" s="32">
        <v>0.13</v>
      </c>
      <c r="E19" s="32">
        <f t="shared" si="0"/>
        <v>361411.258975</v>
      </c>
      <c r="F19" s="28">
        <f>'Get Rate for Iteration 7 '!$B$4</f>
        <v>0.14968505970760121</v>
      </c>
      <c r="G19" s="28">
        <f t="shared" si="1"/>
        <v>-35430.235508923302</v>
      </c>
      <c r="H19" s="29">
        <f t="shared" si="2"/>
        <v>10640135.74878123</v>
      </c>
    </row>
    <row r="20" spans="1:8" x14ac:dyDescent="0.2">
      <c r="A20" s="31">
        <v>41772</v>
      </c>
      <c r="B20" s="32">
        <v>361411.258975</v>
      </c>
      <c r="C20" s="32">
        <v>11120346.43</v>
      </c>
      <c r="D20" s="32">
        <v>0.13</v>
      </c>
      <c r="E20" s="32">
        <f t="shared" si="0"/>
        <v>361411.258975</v>
      </c>
      <c r="F20" s="28">
        <f>'Get Rate for Iteration 7 '!$B$4</f>
        <v>0.14968505970760121</v>
      </c>
      <c r="G20" s="28">
        <f t="shared" si="1"/>
        <v>-36756.079738325148</v>
      </c>
      <c r="H20" s="29">
        <f t="shared" si="2"/>
        <v>10676891.828519555</v>
      </c>
    </row>
    <row r="21" spans="1:8" x14ac:dyDescent="0.2">
      <c r="A21" s="31">
        <v>41864</v>
      </c>
      <c r="B21" s="32">
        <v>361411.258975</v>
      </c>
      <c r="C21" s="32">
        <v>11120346.43</v>
      </c>
      <c r="D21" s="32">
        <v>0.13</v>
      </c>
      <c r="E21" s="32">
        <f t="shared" si="0"/>
        <v>361411.258975</v>
      </c>
      <c r="F21" s="28">
        <f>'Get Rate for Iteration 7 '!$B$4</f>
        <v>0.14968505970760121</v>
      </c>
      <c r="G21" s="28">
        <f t="shared" si="1"/>
        <v>-38131.538735887269</v>
      </c>
      <c r="H21" s="29">
        <f t="shared" si="2"/>
        <v>10715023.367255442</v>
      </c>
    </row>
    <row r="22" spans="1:8" x14ac:dyDescent="0.2">
      <c r="A22" s="31">
        <v>41956</v>
      </c>
      <c r="B22" s="32">
        <v>361411.258975</v>
      </c>
      <c r="C22" s="32">
        <v>11120346.43</v>
      </c>
      <c r="D22" s="32">
        <v>0.13</v>
      </c>
      <c r="E22" s="32">
        <f t="shared" si="0"/>
        <v>361411.258975</v>
      </c>
      <c r="F22" s="28">
        <f>'Get Rate for Iteration 7 '!$B$4</f>
        <v>0.14968505970760121</v>
      </c>
      <c r="G22" s="28">
        <f t="shared" si="1"/>
        <v>-39558.469148993259</v>
      </c>
      <c r="H22" s="29">
        <f t="shared" si="2"/>
        <v>10754581.836404435</v>
      </c>
    </row>
    <row r="23" spans="1:8" x14ac:dyDescent="0.2">
      <c r="A23" s="31">
        <v>42048</v>
      </c>
      <c r="B23" s="32">
        <v>361411.258975</v>
      </c>
      <c r="C23" s="32">
        <v>11120346.43</v>
      </c>
      <c r="D23" s="32">
        <v>0.13</v>
      </c>
      <c r="E23" s="32">
        <f t="shared" si="0"/>
        <v>361411.258975</v>
      </c>
      <c r="F23" s="28">
        <f>'Get Rate for Iteration 7 '!$B$4</f>
        <v>0.14968505970760121</v>
      </c>
      <c r="G23" s="28">
        <f t="shared" si="1"/>
        <v>-41038.797103120363</v>
      </c>
      <c r="H23" s="29">
        <f t="shared" si="2"/>
        <v>10795620.633507555</v>
      </c>
    </row>
    <row r="24" spans="1:8" x14ac:dyDescent="0.2">
      <c r="A24" s="31">
        <v>42137</v>
      </c>
      <c r="B24" s="32">
        <v>361411.258975</v>
      </c>
      <c r="C24" s="32">
        <v>11120346.43</v>
      </c>
      <c r="D24" s="32">
        <v>0.13</v>
      </c>
      <c r="E24" s="32">
        <f t="shared" si="0"/>
        <v>361411.258975</v>
      </c>
      <c r="F24" s="28">
        <f>'Get Rate for Iteration 7 '!$B$4</f>
        <v>0.14968505970760121</v>
      </c>
      <c r="G24" s="28">
        <f t="shared" si="1"/>
        <v>-42574.520801797509</v>
      </c>
      <c r="H24" s="29">
        <f t="shared" si="2"/>
        <v>10838195.154309353</v>
      </c>
    </row>
    <row r="25" spans="1:8" x14ac:dyDescent="0.2">
      <c r="A25" s="31">
        <v>42229</v>
      </c>
      <c r="B25" s="32">
        <v>361411.258975</v>
      </c>
      <c r="C25" s="32">
        <v>11120346.43</v>
      </c>
      <c r="D25" s="32">
        <v>0.13</v>
      </c>
      <c r="E25" s="32">
        <f t="shared" si="0"/>
        <v>361411.258975</v>
      </c>
      <c r="F25" s="28">
        <f>'Get Rate for Iteration 7 '!$B$4</f>
        <v>0.14968505970760121</v>
      </c>
      <c r="G25" s="28">
        <f t="shared" si="1"/>
        <v>-44167.713223857398</v>
      </c>
      <c r="H25" s="29">
        <f t="shared" si="2"/>
        <v>10882362.867533211</v>
      </c>
    </row>
    <row r="26" spans="1:8" x14ac:dyDescent="0.2">
      <c r="A26" s="31">
        <v>42321</v>
      </c>
      <c r="B26" s="32">
        <v>361411.258975</v>
      </c>
      <c r="C26" s="32">
        <v>11120346.43</v>
      </c>
      <c r="D26" s="32">
        <v>0.13</v>
      </c>
      <c r="E26" s="32">
        <f t="shared" si="0"/>
        <v>361411.258975</v>
      </c>
      <c r="F26" s="28">
        <f>'Get Rate for Iteration 7 '!$B$4</f>
        <v>0.14968505970760121</v>
      </c>
      <c r="G26" s="28">
        <f t="shared" si="1"/>
        <v>-45820.524921622709</v>
      </c>
      <c r="H26" s="29">
        <f t="shared" si="2"/>
        <v>10928183.392454833</v>
      </c>
    </row>
    <row r="27" spans="1:8" x14ac:dyDescent="0.2">
      <c r="A27" s="31">
        <v>42413</v>
      </c>
      <c r="B27" s="32">
        <v>361411.258975</v>
      </c>
      <c r="C27" s="32">
        <v>11120346.43</v>
      </c>
      <c r="D27" s="32">
        <v>0.13</v>
      </c>
      <c r="E27" s="32">
        <f t="shared" si="0"/>
        <v>361411.258975</v>
      </c>
      <c r="F27" s="28">
        <f>'Get Rate for Iteration 7 '!$B$4</f>
        <v>0.14968505970760121</v>
      </c>
      <c r="G27" s="28">
        <f t="shared" si="1"/>
        <v>-47535.186923804402</v>
      </c>
      <c r="H27" s="29">
        <f t="shared" si="2"/>
        <v>10975718.579378637</v>
      </c>
    </row>
    <row r="28" spans="1:8" x14ac:dyDescent="0.2">
      <c r="A28" s="31">
        <v>42503</v>
      </c>
      <c r="B28" s="32">
        <v>361411.258975</v>
      </c>
      <c r="C28" s="32">
        <v>11120346.43</v>
      </c>
      <c r="D28" s="32">
        <v>0.13</v>
      </c>
      <c r="E28" s="32">
        <f t="shared" si="0"/>
        <v>361411.258975</v>
      </c>
      <c r="F28" s="28">
        <f>'Get Rate for Iteration 7 '!$B$4</f>
        <v>0.14968505970760121</v>
      </c>
      <c r="G28" s="28">
        <f t="shared" si="1"/>
        <v>-49314.013747029763</v>
      </c>
      <c r="H28" s="29">
        <f t="shared" si="2"/>
        <v>11025032.593125666</v>
      </c>
    </row>
    <row r="29" spans="1:8" x14ac:dyDescent="0.2">
      <c r="A29" s="31">
        <v>42595</v>
      </c>
      <c r="B29" s="32">
        <v>361411.258975</v>
      </c>
      <c r="C29" s="32">
        <v>11120346.43</v>
      </c>
      <c r="D29" s="32">
        <v>0.13</v>
      </c>
      <c r="E29" s="32">
        <f t="shared" si="0"/>
        <v>361411.258975</v>
      </c>
      <c r="F29" s="28">
        <f>'Get Rate for Iteration 7 '!$B$4</f>
        <v>0.14968505970760121</v>
      </c>
      <c r="G29" s="28">
        <f t="shared" si="1"/>
        <v>-51159.406520066143</v>
      </c>
      <c r="H29" s="29">
        <f t="shared" si="2"/>
        <v>11076191.999645732</v>
      </c>
    </row>
    <row r="30" spans="1:8" x14ac:dyDescent="0.2">
      <c r="A30" s="31">
        <v>42687</v>
      </c>
      <c r="B30" s="32">
        <f>+B29</f>
        <v>361411.258975</v>
      </c>
      <c r="C30" s="32">
        <v>11120346.43</v>
      </c>
      <c r="D30" s="32">
        <v>0.13</v>
      </c>
      <c r="E30" s="32">
        <f t="shared" si="0"/>
        <v>361411.258975</v>
      </c>
      <c r="F30" s="28">
        <f>'Get Rate for Iteration 7 '!$B$4</f>
        <v>0.14968505970760121</v>
      </c>
      <c r="G30" s="28">
        <f t="shared" si="1"/>
        <v>-53073.856224956573</v>
      </c>
      <c r="H30" s="29">
        <f t="shared" si="2"/>
        <v>11129265.855870688</v>
      </c>
    </row>
    <row r="33" spans="2:7" x14ac:dyDescent="0.2">
      <c r="B33" s="13"/>
      <c r="C33" s="13"/>
      <c r="D33" s="13"/>
      <c r="E33" s="13"/>
    </row>
    <row r="34" spans="2:7" x14ac:dyDescent="0.2">
      <c r="B34" s="2"/>
      <c r="C34" s="2"/>
      <c r="D34" s="2"/>
      <c r="E34" s="2"/>
      <c r="F34" t="s">
        <v>33</v>
      </c>
      <c r="G34" s="2">
        <f>H30-C2</f>
        <v>8919.4258706886321</v>
      </c>
    </row>
    <row r="36" spans="2:7" x14ac:dyDescent="0.2">
      <c r="F36" t="s">
        <v>34</v>
      </c>
      <c r="G36">
        <v>0.01</v>
      </c>
    </row>
  </sheetData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C8"/>
  <sheetViews>
    <sheetView workbookViewId="0">
      <selection activeCell="L41" sqref="L41"/>
    </sheetView>
  </sheetViews>
  <sheetFormatPr defaultRowHeight="12.75" x14ac:dyDescent="0.2"/>
  <cols>
    <col min="2" max="2" width="14.5703125" bestFit="1" customWidth="1"/>
  </cols>
  <sheetData>
    <row r="1" spans="1:3" x14ac:dyDescent="0.2">
      <c r="A1" t="s">
        <v>2</v>
      </c>
    </row>
    <row r="4" spans="1:3" x14ac:dyDescent="0.2">
      <c r="A4" s="4" t="s">
        <v>5</v>
      </c>
      <c r="B4" s="25">
        <f>B5-B7*(B5-B6)/(B7-B8)</f>
        <v>0.14961373046597398</v>
      </c>
      <c r="C4" t="s">
        <v>12</v>
      </c>
    </row>
    <row r="5" spans="1:3" x14ac:dyDescent="0.2">
      <c r="A5" s="5" t="s">
        <v>3</v>
      </c>
      <c r="B5">
        <f>'Iteration 7 '!F2</f>
        <v>0.14968505970760121</v>
      </c>
      <c r="C5" t="s">
        <v>8</v>
      </c>
    </row>
    <row r="6" spans="1:3" x14ac:dyDescent="0.2">
      <c r="A6" s="5" t="s">
        <v>4</v>
      </c>
      <c r="B6">
        <f>'Iteration 6'!F2</f>
        <v>0.14789247201116529</v>
      </c>
      <c r="C6" t="s">
        <v>9</v>
      </c>
    </row>
    <row r="7" spans="1:3" x14ac:dyDescent="0.2">
      <c r="A7" s="5" t="s">
        <v>6</v>
      </c>
      <c r="B7" s="2">
        <f>'Iteration 7 '!G34</f>
        <v>8919.4258706886321</v>
      </c>
      <c r="C7" t="s">
        <v>10</v>
      </c>
    </row>
    <row r="8" spans="1:3" x14ac:dyDescent="0.2">
      <c r="A8" s="5" t="s">
        <v>7</v>
      </c>
      <c r="B8" s="2">
        <f>'Iteration 6'!G34</f>
        <v>-215236.23189769313</v>
      </c>
      <c r="C8" t="s">
        <v>11</v>
      </c>
    </row>
  </sheetData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H36"/>
  <sheetViews>
    <sheetView workbookViewId="0">
      <selection activeCell="E30" sqref="A2:E30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5" width="14.5703125" customWidth="1"/>
    <col min="6" max="6" width="13.42578125" customWidth="1"/>
    <col min="7" max="7" width="14.85546875" customWidth="1"/>
    <col min="8" max="8" width="13.42578125" customWidth="1"/>
  </cols>
  <sheetData>
    <row r="1" spans="1:8" x14ac:dyDescent="0.2">
      <c r="A1" s="7" t="s">
        <v>13</v>
      </c>
      <c r="B1" s="7" t="s">
        <v>0</v>
      </c>
      <c r="C1" s="7" t="s">
        <v>15</v>
      </c>
      <c r="D1" s="7" t="s">
        <v>30</v>
      </c>
      <c r="E1" s="7" t="s">
        <v>32</v>
      </c>
      <c r="F1" s="7" t="s">
        <v>31</v>
      </c>
      <c r="G1" s="7" t="s">
        <v>27</v>
      </c>
      <c r="H1" s="7" t="s">
        <v>25</v>
      </c>
    </row>
    <row r="2" spans="1:8" x14ac:dyDescent="0.2">
      <c r="A2" s="31">
        <v>40130</v>
      </c>
      <c r="B2" s="32">
        <v>-10183896.199999999</v>
      </c>
      <c r="C2" s="32">
        <v>11120346.43</v>
      </c>
      <c r="D2" s="32">
        <v>0.13</v>
      </c>
      <c r="E2" s="32" t="s">
        <v>1</v>
      </c>
      <c r="F2" s="28">
        <f>'Get Rate for Iteration 8 '!$B$4</f>
        <v>0.14961373046597398</v>
      </c>
      <c r="G2" s="28"/>
      <c r="H2" s="29">
        <f>+B2*-1</f>
        <v>10183896.199999999</v>
      </c>
    </row>
    <row r="3" spans="1:8" x14ac:dyDescent="0.2">
      <c r="A3" s="31">
        <v>40222</v>
      </c>
      <c r="B3" s="32">
        <v>361411.258975</v>
      </c>
      <c r="C3" s="32">
        <v>11120346.43</v>
      </c>
      <c r="D3" s="32">
        <v>0.13</v>
      </c>
      <c r="E3" s="32">
        <f>+D3*C3*0.25</f>
        <v>361411.258975</v>
      </c>
      <c r="F3" s="28">
        <f>'Get Rate for Iteration 8 '!$B$4</f>
        <v>0.14961373046597398</v>
      </c>
      <c r="G3" s="28">
        <f>E3-((H2*0.25*F3))</f>
        <v>-19501.416315064125</v>
      </c>
      <c r="H3" s="29">
        <f>+H2-G3</f>
        <v>10203397.616315063</v>
      </c>
    </row>
    <row r="4" spans="1:8" x14ac:dyDescent="0.2">
      <c r="A4" s="31">
        <v>40311</v>
      </c>
      <c r="B4" s="32">
        <v>361411.258975</v>
      </c>
      <c r="C4" s="32">
        <v>11120346.43</v>
      </c>
      <c r="D4" s="32">
        <v>0.13</v>
      </c>
      <c r="E4" s="32">
        <f t="shared" ref="E4:E30" si="0">+D4*C4*0.25</f>
        <v>361411.258975</v>
      </c>
      <c r="F4" s="28">
        <f>'Get Rate for Iteration 8 '!$B$4</f>
        <v>0.14961373046597398</v>
      </c>
      <c r="G4" s="28">
        <f t="shared" ref="G4:G30" si="1">E4-((H3*0.25*F4))</f>
        <v>-20230.836226130836</v>
      </c>
      <c r="H4" s="29">
        <f t="shared" ref="H4:H30" si="2">+H3-G4</f>
        <v>10223628.452541195</v>
      </c>
    </row>
    <row r="5" spans="1:8" x14ac:dyDescent="0.2">
      <c r="A5" s="31">
        <v>40403</v>
      </c>
      <c r="B5" s="32">
        <v>361411.258975</v>
      </c>
      <c r="C5" s="32">
        <v>11120346.43</v>
      </c>
      <c r="D5" s="32">
        <v>0.13</v>
      </c>
      <c r="E5" s="32">
        <f t="shared" si="0"/>
        <v>361411.258975</v>
      </c>
      <c r="F5" s="28">
        <f>'Get Rate for Iteration 8 '!$B$4</f>
        <v>0.14961373046597398</v>
      </c>
      <c r="G5" s="28">
        <f t="shared" si="1"/>
        <v>-20987.538945690263</v>
      </c>
      <c r="H5" s="29">
        <f t="shared" si="2"/>
        <v>10244615.991486885</v>
      </c>
    </row>
    <row r="6" spans="1:8" x14ac:dyDescent="0.2">
      <c r="A6" s="31">
        <v>40495</v>
      </c>
      <c r="B6" s="32">
        <v>361411.258975</v>
      </c>
      <c r="C6" s="32">
        <v>11120346.43</v>
      </c>
      <c r="D6" s="32">
        <v>0.13</v>
      </c>
      <c r="E6" s="32">
        <f t="shared" si="0"/>
        <v>361411.258975</v>
      </c>
      <c r="F6" s="28">
        <f>'Get Rate for Iteration 8 '!$B$4</f>
        <v>0.14961373046597398</v>
      </c>
      <c r="G6" s="28">
        <f t="shared" si="1"/>
        <v>-21772.5449444314</v>
      </c>
      <c r="H6" s="29">
        <f t="shared" si="2"/>
        <v>10266388.536431316</v>
      </c>
    </row>
    <row r="7" spans="1:8" x14ac:dyDescent="0.2">
      <c r="A7" s="31">
        <v>40587</v>
      </c>
      <c r="B7" s="32">
        <v>361411.258975</v>
      </c>
      <c r="C7" s="32">
        <v>11120346.43</v>
      </c>
      <c r="D7" s="32">
        <v>0.13</v>
      </c>
      <c r="E7" s="32">
        <f t="shared" si="0"/>
        <v>361411.258975</v>
      </c>
      <c r="F7" s="28">
        <f>'Get Rate for Iteration 8 '!$B$4</f>
        <v>0.14961373046597398</v>
      </c>
      <c r="G7" s="28">
        <f t="shared" si="1"/>
        <v>-22586.912862149999</v>
      </c>
      <c r="H7" s="29">
        <f t="shared" si="2"/>
        <v>10288975.449293466</v>
      </c>
    </row>
    <row r="8" spans="1:8" x14ac:dyDescent="0.2">
      <c r="A8" s="31">
        <v>40676</v>
      </c>
      <c r="B8" s="32">
        <v>361411.258975</v>
      </c>
      <c r="C8" s="32">
        <v>11120346.43</v>
      </c>
      <c r="D8" s="32">
        <v>0.13</v>
      </c>
      <c r="E8" s="32">
        <f t="shared" si="0"/>
        <v>361411.258975</v>
      </c>
      <c r="F8" s="28">
        <f>'Get Rate for Iteration 8 '!$B$4</f>
        <v>0.14961373046597398</v>
      </c>
      <c r="G8" s="28">
        <f t="shared" si="1"/>
        <v>-23431.740935404028</v>
      </c>
      <c r="H8" s="29">
        <f t="shared" si="2"/>
        <v>10312407.19022887</v>
      </c>
    </row>
    <row r="9" spans="1:8" x14ac:dyDescent="0.2">
      <c r="A9" s="31">
        <v>40768</v>
      </c>
      <c r="B9" s="32">
        <v>361411.258975</v>
      </c>
      <c r="C9" s="32">
        <v>11120346.43</v>
      </c>
      <c r="D9" s="32">
        <v>0.13</v>
      </c>
      <c r="E9" s="32">
        <f t="shared" si="0"/>
        <v>361411.258975</v>
      </c>
      <c r="F9" s="28">
        <f>'Get Rate for Iteration 8 '!$B$4</f>
        <v>0.14961373046597398</v>
      </c>
      <c r="G9" s="28">
        <f t="shared" si="1"/>
        <v>-24308.16847856855</v>
      </c>
      <c r="H9" s="29">
        <f t="shared" si="2"/>
        <v>10336715.358707439</v>
      </c>
    </row>
    <row r="10" spans="1:8" x14ac:dyDescent="0.2">
      <c r="A10" s="31">
        <v>40860</v>
      </c>
      <c r="B10" s="32">
        <v>361411.258975</v>
      </c>
      <c r="C10" s="32">
        <v>11120346.43</v>
      </c>
      <c r="D10" s="32">
        <v>0.13</v>
      </c>
      <c r="E10" s="32">
        <f t="shared" si="0"/>
        <v>361411.258975</v>
      </c>
      <c r="F10" s="28">
        <f>'Get Rate for Iteration 8 '!$B$4</f>
        <v>0.14961373046597398</v>
      </c>
      <c r="G10" s="28">
        <f t="shared" si="1"/>
        <v>-25217.377420287114</v>
      </c>
      <c r="H10" s="29">
        <f t="shared" si="2"/>
        <v>10361932.736127727</v>
      </c>
    </row>
    <row r="11" spans="1:8" x14ac:dyDescent="0.2">
      <c r="A11" s="31">
        <v>40952</v>
      </c>
      <c r="B11" s="32">
        <v>361411.258975</v>
      </c>
      <c r="C11" s="32">
        <v>11120346.43</v>
      </c>
      <c r="D11" s="32">
        <v>0.13</v>
      </c>
      <c r="E11" s="32">
        <f t="shared" si="0"/>
        <v>361411.258975</v>
      </c>
      <c r="F11" s="28">
        <f>'Get Rate for Iteration 8 '!$B$4</f>
        <v>0.14961373046597398</v>
      </c>
      <c r="G11" s="28">
        <f t="shared" si="1"/>
        <v>-26160.593897391518</v>
      </c>
      <c r="H11" s="29">
        <f t="shared" si="2"/>
        <v>10388093.330025118</v>
      </c>
    </row>
    <row r="12" spans="1:8" x14ac:dyDescent="0.2">
      <c r="A12" s="31">
        <v>41042</v>
      </c>
      <c r="B12" s="32">
        <v>361411.258975</v>
      </c>
      <c r="C12" s="32">
        <v>11120346.43</v>
      </c>
      <c r="D12" s="32">
        <v>0.13</v>
      </c>
      <c r="E12" s="32">
        <f t="shared" si="0"/>
        <v>361411.258975</v>
      </c>
      <c r="F12" s="28">
        <f>'Get Rate for Iteration 8 '!$B$4</f>
        <v>0.14961373046597398</v>
      </c>
      <c r="G12" s="28">
        <f t="shared" si="1"/>
        <v>-27139.089908440015</v>
      </c>
      <c r="H12" s="29">
        <f t="shared" si="2"/>
        <v>10415232.419933558</v>
      </c>
    </row>
    <row r="13" spans="1:8" x14ac:dyDescent="0.2">
      <c r="A13" s="31">
        <v>41134</v>
      </c>
      <c r="B13" s="32">
        <v>361411.258975</v>
      </c>
      <c r="C13" s="32">
        <v>11120346.43</v>
      </c>
      <c r="D13" s="32">
        <v>0.13</v>
      </c>
      <c r="E13" s="32">
        <f t="shared" si="0"/>
        <v>361411.258975</v>
      </c>
      <c r="F13" s="28">
        <f>'Get Rate for Iteration 8 '!$B$4</f>
        <v>0.14961373046597398</v>
      </c>
      <c r="G13" s="28">
        <f t="shared" si="1"/>
        <v>-28154.185029103304</v>
      </c>
      <c r="H13" s="29">
        <f t="shared" si="2"/>
        <v>10443386.60496266</v>
      </c>
    </row>
    <row r="14" spans="1:8" x14ac:dyDescent="0.2">
      <c r="A14" s="31">
        <v>41226</v>
      </c>
      <c r="B14" s="32">
        <v>361411.258975</v>
      </c>
      <c r="C14" s="32">
        <v>11120346.43</v>
      </c>
      <c r="D14" s="32">
        <v>0.13</v>
      </c>
      <c r="E14" s="32">
        <f t="shared" si="0"/>
        <v>361411.258975</v>
      </c>
      <c r="F14" s="28">
        <f>'Get Rate for Iteration 8 '!$B$4</f>
        <v>0.14961373046597398</v>
      </c>
      <c r="G14" s="28">
        <f t="shared" si="1"/>
        <v>-29207.248191711609</v>
      </c>
      <c r="H14" s="29">
        <f t="shared" si="2"/>
        <v>10472593.853154372</v>
      </c>
    </row>
    <row r="15" spans="1:8" x14ac:dyDescent="0.2">
      <c r="A15" s="31">
        <v>41318</v>
      </c>
      <c r="B15" s="32">
        <v>361411.258975</v>
      </c>
      <c r="C15" s="32">
        <v>11120346.43</v>
      </c>
      <c r="D15" s="32">
        <v>0.13</v>
      </c>
      <c r="E15" s="32">
        <f t="shared" si="0"/>
        <v>361411.258975</v>
      </c>
      <c r="F15" s="28">
        <f>'Get Rate for Iteration 8 '!$B$4</f>
        <v>0.14961373046597398</v>
      </c>
      <c r="G15" s="28">
        <f t="shared" si="1"/>
        <v>-30299.699531363556</v>
      </c>
      <c r="H15" s="29">
        <f t="shared" si="2"/>
        <v>10502893.552685736</v>
      </c>
    </row>
    <row r="16" spans="1:8" x14ac:dyDescent="0.2">
      <c r="A16" s="31">
        <v>41407</v>
      </c>
      <c r="B16" s="32">
        <v>361411.258975</v>
      </c>
      <c r="C16" s="32">
        <v>11120346.43</v>
      </c>
      <c r="D16" s="32">
        <v>0.13</v>
      </c>
      <c r="E16" s="32">
        <f t="shared" si="0"/>
        <v>361411.258975</v>
      </c>
      <c r="F16" s="28">
        <f>'Get Rate for Iteration 8 '!$B$4</f>
        <v>0.14961373046597398</v>
      </c>
      <c r="G16" s="28">
        <f t="shared" si="1"/>
        <v>-31433.012301084877</v>
      </c>
      <c r="H16" s="29">
        <f t="shared" si="2"/>
        <v>10534326.564986821</v>
      </c>
    </row>
    <row r="17" spans="1:8" x14ac:dyDescent="0.2">
      <c r="A17" s="31">
        <v>41499</v>
      </c>
      <c r="B17" s="32">
        <v>361411.258975</v>
      </c>
      <c r="C17" s="32">
        <v>11120346.43</v>
      </c>
      <c r="D17" s="32">
        <v>0.13</v>
      </c>
      <c r="E17" s="32">
        <f t="shared" si="0"/>
        <v>361411.258975</v>
      </c>
      <c r="F17" s="28">
        <f>'Get Rate for Iteration 8 '!$B$4</f>
        <v>0.14961373046597398</v>
      </c>
      <c r="G17" s="28">
        <f t="shared" si="1"/>
        <v>-32608.714858621941</v>
      </c>
      <c r="H17" s="29">
        <f t="shared" si="2"/>
        <v>10566935.279845443</v>
      </c>
    </row>
    <row r="18" spans="1:8" x14ac:dyDescent="0.2">
      <c r="A18" s="31">
        <v>41591</v>
      </c>
      <c r="B18" s="32">
        <v>361411.258975</v>
      </c>
      <c r="C18" s="32">
        <v>11120346.43</v>
      </c>
      <c r="D18" s="32">
        <v>0.13</v>
      </c>
      <c r="E18" s="32">
        <f t="shared" si="0"/>
        <v>361411.258975</v>
      </c>
      <c r="F18" s="28">
        <f>'Get Rate for Iteration 8 '!$B$4</f>
        <v>0.14961373046597398</v>
      </c>
      <c r="G18" s="28">
        <f t="shared" si="1"/>
        <v>-33828.39272754686</v>
      </c>
      <c r="H18" s="29">
        <f t="shared" si="2"/>
        <v>10600763.672572989</v>
      </c>
    </row>
    <row r="19" spans="1:8" x14ac:dyDescent="0.2">
      <c r="A19" s="31">
        <v>41683</v>
      </c>
      <c r="B19" s="32">
        <v>361411.258975</v>
      </c>
      <c r="C19" s="32">
        <v>11120346.43</v>
      </c>
      <c r="D19" s="32">
        <v>0.13</v>
      </c>
      <c r="E19" s="32">
        <f t="shared" si="0"/>
        <v>361411.258975</v>
      </c>
      <c r="F19" s="28">
        <f>'Get Rate for Iteration 8 '!$B$4</f>
        <v>0.14961373046597398</v>
      </c>
      <c r="G19" s="28">
        <f t="shared" si="1"/>
        <v>-35093.690735455893</v>
      </c>
      <c r="H19" s="29">
        <f t="shared" si="2"/>
        <v>10635857.363308445</v>
      </c>
    </row>
    <row r="20" spans="1:8" x14ac:dyDescent="0.2">
      <c r="A20" s="31">
        <v>41772</v>
      </c>
      <c r="B20" s="32">
        <v>361411.258975</v>
      </c>
      <c r="C20" s="32">
        <v>11120346.43</v>
      </c>
      <c r="D20" s="32">
        <v>0.13</v>
      </c>
      <c r="E20" s="32">
        <f t="shared" si="0"/>
        <v>361411.258975</v>
      </c>
      <c r="F20" s="28">
        <f>'Get Rate for Iteration 8 '!$B$4</f>
        <v>0.14961373046597398</v>
      </c>
      <c r="G20" s="28">
        <f t="shared" si="1"/>
        <v>-36406.315232143563</v>
      </c>
      <c r="H20" s="29">
        <f t="shared" si="2"/>
        <v>10672263.678540587</v>
      </c>
    </row>
    <row r="21" spans="1:8" x14ac:dyDescent="0.2">
      <c r="A21" s="31">
        <v>41864</v>
      </c>
      <c r="B21" s="32">
        <v>361411.258975</v>
      </c>
      <c r="C21" s="32">
        <v>11120346.43</v>
      </c>
      <c r="D21" s="32">
        <v>0.13</v>
      </c>
      <c r="E21" s="32">
        <f t="shared" si="0"/>
        <v>361411.258975</v>
      </c>
      <c r="F21" s="28">
        <f>'Get Rate for Iteration 8 '!$B$4</f>
        <v>0.14961373046597398</v>
      </c>
      <c r="G21" s="28">
        <f t="shared" si="1"/>
        <v>-37768.036390743859</v>
      </c>
      <c r="H21" s="29">
        <f t="shared" si="2"/>
        <v>10710031.714931332</v>
      </c>
    </row>
    <row r="22" spans="1:8" x14ac:dyDescent="0.2">
      <c r="A22" s="31">
        <v>41956</v>
      </c>
      <c r="B22" s="32">
        <v>361411.258975</v>
      </c>
      <c r="C22" s="32">
        <v>11120346.43</v>
      </c>
      <c r="D22" s="32">
        <v>0.13</v>
      </c>
      <c r="E22" s="32">
        <f t="shared" si="0"/>
        <v>361411.258975</v>
      </c>
      <c r="F22" s="28">
        <f>'Get Rate for Iteration 8 '!$B$4</f>
        <v>0.14961373046597398</v>
      </c>
      <c r="G22" s="28">
        <f t="shared" si="1"/>
        <v>-39180.690594942309</v>
      </c>
      <c r="H22" s="29">
        <f t="shared" si="2"/>
        <v>10749212.405526273</v>
      </c>
    </row>
    <row r="23" spans="1:8" x14ac:dyDescent="0.2">
      <c r="A23" s="31">
        <v>42048</v>
      </c>
      <c r="B23" s="32">
        <v>361411.258975</v>
      </c>
      <c r="C23" s="32">
        <v>11120346.43</v>
      </c>
      <c r="D23" s="32">
        <v>0.13</v>
      </c>
      <c r="E23" s="32">
        <f t="shared" si="0"/>
        <v>361411.258975</v>
      </c>
      <c r="F23" s="28">
        <f>'Get Rate for Iteration 8 '!$B$4</f>
        <v>0.14961373046597398</v>
      </c>
      <c r="G23" s="28">
        <f t="shared" si="1"/>
        <v>-40646.182915477897</v>
      </c>
      <c r="H23" s="29">
        <f t="shared" si="2"/>
        <v>10789858.58844175</v>
      </c>
    </row>
    <row r="24" spans="1:8" x14ac:dyDescent="0.2">
      <c r="A24" s="31">
        <v>42137</v>
      </c>
      <c r="B24" s="32">
        <v>361411.258975</v>
      </c>
      <c r="C24" s="32">
        <v>11120346.43</v>
      </c>
      <c r="D24" s="32">
        <v>0.13</v>
      </c>
      <c r="E24" s="32">
        <f t="shared" si="0"/>
        <v>361411.258975</v>
      </c>
      <c r="F24" s="28">
        <f>'Get Rate for Iteration 8 '!$B$4</f>
        <v>0.14961373046597398</v>
      </c>
      <c r="G24" s="28">
        <f t="shared" si="1"/>
        <v>-42166.489679274615</v>
      </c>
      <c r="H24" s="29">
        <f t="shared" si="2"/>
        <v>10832025.078121025</v>
      </c>
    </row>
    <row r="25" spans="1:8" x14ac:dyDescent="0.2">
      <c r="A25" s="31">
        <v>42229</v>
      </c>
      <c r="B25" s="32">
        <v>361411.258975</v>
      </c>
      <c r="C25" s="32">
        <v>11120346.43</v>
      </c>
      <c r="D25" s="32">
        <v>0.13</v>
      </c>
      <c r="E25" s="32">
        <f t="shared" si="0"/>
        <v>361411.258975</v>
      </c>
      <c r="F25" s="28">
        <f>'Get Rate for Iteration 8 '!$B$4</f>
        <v>0.14961373046597398</v>
      </c>
      <c r="G25" s="28">
        <f t="shared" si="1"/>
        <v>-43743.661134667462</v>
      </c>
      <c r="H25" s="29">
        <f t="shared" si="2"/>
        <v>10875768.739255693</v>
      </c>
    </row>
    <row r="26" spans="1:8" x14ac:dyDescent="0.2">
      <c r="A26" s="31">
        <v>42321</v>
      </c>
      <c r="B26" s="32">
        <v>361411.258975</v>
      </c>
      <c r="C26" s="32">
        <v>11120346.43</v>
      </c>
      <c r="D26" s="32">
        <v>0.13</v>
      </c>
      <c r="E26" s="32">
        <f t="shared" si="0"/>
        <v>361411.258975</v>
      </c>
      <c r="F26" s="28">
        <f>'Get Rate for Iteration 8 '!$B$4</f>
        <v>0.14961373046597398</v>
      </c>
      <c r="G26" s="28">
        <f t="shared" si="1"/>
        <v>-45379.824216316745</v>
      </c>
      <c r="H26" s="29">
        <f t="shared" si="2"/>
        <v>10921148.56347201</v>
      </c>
    </row>
    <row r="27" spans="1:8" x14ac:dyDescent="0.2">
      <c r="A27" s="31">
        <v>42413</v>
      </c>
      <c r="B27" s="32">
        <v>361411.258975</v>
      </c>
      <c r="C27" s="32">
        <v>11120346.43</v>
      </c>
      <c r="D27" s="32">
        <v>0.13</v>
      </c>
      <c r="E27" s="32">
        <f t="shared" si="0"/>
        <v>361411.258975</v>
      </c>
      <c r="F27" s="28">
        <f>'Get Rate for Iteration 8 '!$B$4</f>
        <v>0.14961373046597398</v>
      </c>
      <c r="G27" s="28">
        <f t="shared" si="1"/>
        <v>-47077.18541354005</v>
      </c>
      <c r="H27" s="29">
        <f t="shared" si="2"/>
        <v>10968225.74888555</v>
      </c>
    </row>
    <row r="28" spans="1:8" x14ac:dyDescent="0.2">
      <c r="A28" s="31">
        <v>42503</v>
      </c>
      <c r="B28" s="32">
        <v>361411.258975</v>
      </c>
      <c r="C28" s="32">
        <v>11120346.43</v>
      </c>
      <c r="D28" s="32">
        <v>0.13</v>
      </c>
      <c r="E28" s="32">
        <f t="shared" si="0"/>
        <v>361411.258975</v>
      </c>
      <c r="F28" s="28">
        <f>'Get Rate for Iteration 8 '!$B$4</f>
        <v>0.14961373046597398</v>
      </c>
      <c r="G28" s="28">
        <f t="shared" si="1"/>
        <v>-48838.033745929541</v>
      </c>
      <c r="H28" s="29">
        <f t="shared" si="2"/>
        <v>11017063.782631479</v>
      </c>
    </row>
    <row r="29" spans="1:8" x14ac:dyDescent="0.2">
      <c r="A29" s="31">
        <v>42595</v>
      </c>
      <c r="B29" s="32">
        <v>361411.258975</v>
      </c>
      <c r="C29" s="32">
        <v>11120346.43</v>
      </c>
      <c r="D29" s="32">
        <v>0.13</v>
      </c>
      <c r="E29" s="32">
        <f t="shared" si="0"/>
        <v>361411.258975</v>
      </c>
      <c r="F29" s="28">
        <f>'Get Rate for Iteration 8 '!$B$4</f>
        <v>0.14961373046597398</v>
      </c>
      <c r="G29" s="28">
        <f t="shared" si="1"/>
        <v>-50664.743850267492</v>
      </c>
      <c r="H29" s="29">
        <f t="shared" si="2"/>
        <v>11067728.526481748</v>
      </c>
    </row>
    <row r="30" spans="1:8" x14ac:dyDescent="0.2">
      <c r="A30" s="31">
        <v>42687</v>
      </c>
      <c r="B30" s="32">
        <f>+B29</f>
        <v>361411.258975</v>
      </c>
      <c r="C30" s="32">
        <v>11120346.43</v>
      </c>
      <c r="D30" s="32">
        <v>0.13</v>
      </c>
      <c r="E30" s="32">
        <f t="shared" si="0"/>
        <v>361411.258975</v>
      </c>
      <c r="F30" s="28">
        <f>'Get Rate for Iteration 8 '!$B$4</f>
        <v>0.14961373046597398</v>
      </c>
      <c r="G30" s="28">
        <f t="shared" si="1"/>
        <v>-52559.779182902887</v>
      </c>
      <c r="H30" s="29">
        <f t="shared" si="2"/>
        <v>11120288.305664651</v>
      </c>
    </row>
    <row r="33" spans="2:7" x14ac:dyDescent="0.2">
      <c r="B33" s="13"/>
      <c r="C33" s="13"/>
      <c r="D33" s="13"/>
      <c r="E33" s="13"/>
    </row>
    <row r="34" spans="2:7" x14ac:dyDescent="0.2">
      <c r="B34" s="2"/>
      <c r="C34" s="2"/>
      <c r="D34" s="2"/>
      <c r="E34" s="2"/>
      <c r="F34" t="s">
        <v>33</v>
      </c>
      <c r="G34" s="2">
        <f>H30-C2</f>
        <v>-58.12433534860611</v>
      </c>
    </row>
    <row r="36" spans="2:7" x14ac:dyDescent="0.2">
      <c r="F36" t="s">
        <v>34</v>
      </c>
      <c r="G36">
        <v>0.01</v>
      </c>
    </row>
  </sheetData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C8"/>
  <sheetViews>
    <sheetView workbookViewId="0">
      <selection activeCell="L41" sqref="L41"/>
    </sheetView>
  </sheetViews>
  <sheetFormatPr defaultRowHeight="12.75" x14ac:dyDescent="0.2"/>
  <cols>
    <col min="2" max="2" width="14.5703125" bestFit="1" customWidth="1"/>
  </cols>
  <sheetData>
    <row r="1" spans="1:3" x14ac:dyDescent="0.2">
      <c r="A1" t="s">
        <v>2</v>
      </c>
    </row>
    <row r="4" spans="1:3" x14ac:dyDescent="0.2">
      <c r="A4" s="4" t="s">
        <v>5</v>
      </c>
      <c r="B4" s="25">
        <f>B5-B7*(B5-B6)/(B7-B8)</f>
        <v>0.14961419228068573</v>
      </c>
      <c r="C4" t="s">
        <v>12</v>
      </c>
    </row>
    <row r="5" spans="1:3" x14ac:dyDescent="0.2">
      <c r="A5" s="5" t="s">
        <v>3</v>
      </c>
      <c r="B5">
        <f>'Iteration 8 '!F2</f>
        <v>0.14961373046597398</v>
      </c>
      <c r="C5" t="s">
        <v>8</v>
      </c>
    </row>
    <row r="6" spans="1:3" x14ac:dyDescent="0.2">
      <c r="A6" s="5" t="s">
        <v>4</v>
      </c>
      <c r="B6">
        <f>'Iteration 7 '!F2</f>
        <v>0.14968505970760121</v>
      </c>
      <c r="C6" t="s">
        <v>9</v>
      </c>
    </row>
    <row r="7" spans="1:3" x14ac:dyDescent="0.2">
      <c r="A7" s="5" t="s">
        <v>6</v>
      </c>
      <c r="B7" s="2">
        <f>'Iteration 8 '!G34</f>
        <v>-58.12433534860611</v>
      </c>
      <c r="C7" t="s">
        <v>10</v>
      </c>
    </row>
    <row r="8" spans="1:3" x14ac:dyDescent="0.2">
      <c r="A8" s="5" t="s">
        <v>7</v>
      </c>
      <c r="B8" s="2">
        <f>'Iteration 7 '!G34</f>
        <v>8919.4258706886321</v>
      </c>
      <c r="C8" t="s">
        <v>11</v>
      </c>
    </row>
  </sheetData>
  <phoneticPr fontId="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H38"/>
  <sheetViews>
    <sheetView workbookViewId="0">
      <selection activeCell="E30" sqref="A2:E30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3" width="14.5703125" customWidth="1"/>
    <col min="4" max="4" width="21.85546875" customWidth="1"/>
    <col min="5" max="5" width="14.5703125" customWidth="1"/>
    <col min="6" max="6" width="13.42578125" customWidth="1"/>
    <col min="7" max="7" width="14.85546875" customWidth="1"/>
    <col min="8" max="8" width="13.42578125" customWidth="1"/>
  </cols>
  <sheetData>
    <row r="1" spans="1:8" x14ac:dyDescent="0.2">
      <c r="A1" s="7" t="s">
        <v>13</v>
      </c>
      <c r="B1" s="7" t="s">
        <v>0</v>
      </c>
      <c r="C1" s="7" t="s">
        <v>15</v>
      </c>
      <c r="D1" s="7" t="s">
        <v>30</v>
      </c>
      <c r="E1" s="7" t="s">
        <v>32</v>
      </c>
      <c r="F1" s="7" t="s">
        <v>31</v>
      </c>
      <c r="G1" s="7" t="s">
        <v>27</v>
      </c>
      <c r="H1" s="7" t="s">
        <v>25</v>
      </c>
    </row>
    <row r="2" spans="1:8" x14ac:dyDescent="0.2">
      <c r="A2" s="31">
        <v>40130</v>
      </c>
      <c r="B2" s="32">
        <v>-10183896.199999999</v>
      </c>
      <c r="C2" s="32">
        <v>11120346.43</v>
      </c>
      <c r="D2" s="32">
        <v>0.13</v>
      </c>
      <c r="E2" s="32" t="s">
        <v>1</v>
      </c>
      <c r="F2" s="28">
        <f>'Get Rate for Iteration 9 '!$B$4</f>
        <v>0.14961419228068573</v>
      </c>
      <c r="G2" s="28"/>
      <c r="H2" s="29">
        <f>+B2*-1</f>
        <v>10183896.199999999</v>
      </c>
    </row>
    <row r="3" spans="1:8" x14ac:dyDescent="0.2">
      <c r="A3" s="31">
        <v>40222</v>
      </c>
      <c r="B3" s="32">
        <v>361411.258975</v>
      </c>
      <c r="C3" s="32">
        <v>11120346.43</v>
      </c>
      <c r="D3" s="32">
        <v>0.13</v>
      </c>
      <c r="E3" s="32">
        <f>+D3*C3*0.25</f>
        <v>361411.258975</v>
      </c>
      <c r="F3" s="28">
        <f>'Get Rate for Iteration 9 '!$B$4</f>
        <v>0.14961419228068573</v>
      </c>
      <c r="G3" s="28">
        <f>E3-((H2*0.25*F3))</f>
        <v>-19502.592083336145</v>
      </c>
      <c r="H3" s="29">
        <f>+H2-G3</f>
        <v>10203398.792083336</v>
      </c>
    </row>
    <row r="4" spans="1:8" x14ac:dyDescent="0.2">
      <c r="A4" s="31">
        <v>40311</v>
      </c>
      <c r="B4" s="32">
        <v>361411.258975</v>
      </c>
      <c r="C4" s="32">
        <v>11120346.43</v>
      </c>
      <c r="D4" s="32">
        <v>0.13</v>
      </c>
      <c r="E4" s="32">
        <f t="shared" ref="E4:E30" si="0">+D4*C4*0.25</f>
        <v>361411.258975</v>
      </c>
      <c r="F4" s="28">
        <f>'Get Rate for Iteration 9 '!$B$4</f>
        <v>0.14961419228068573</v>
      </c>
      <c r="G4" s="28">
        <f t="shared" ref="G4:G30" si="1">E4-((H3*0.25*F4))</f>
        <v>-20232.058223818196</v>
      </c>
      <c r="H4" s="29">
        <f t="shared" ref="H4:H30" si="2">+H3-G4</f>
        <v>10223630.850307154</v>
      </c>
    </row>
    <row r="5" spans="1:8" x14ac:dyDescent="0.2">
      <c r="A5" s="31">
        <v>40403</v>
      </c>
      <c r="B5" s="32">
        <v>361411.258975</v>
      </c>
      <c r="C5" s="32">
        <v>11120346.43</v>
      </c>
      <c r="D5" s="32">
        <v>0.13</v>
      </c>
      <c r="E5" s="32">
        <f t="shared" si="0"/>
        <v>361411.258975</v>
      </c>
      <c r="F5" s="28">
        <f>'Get Rate for Iteration 9 '!$B$4</f>
        <v>0.14961419228068573</v>
      </c>
      <c r="G5" s="28">
        <f t="shared" si="1"/>
        <v>-20988.808986151242</v>
      </c>
      <c r="H5" s="29">
        <f t="shared" si="2"/>
        <v>10244619.659293305</v>
      </c>
    </row>
    <row r="6" spans="1:8" x14ac:dyDescent="0.2">
      <c r="A6" s="31">
        <v>40495</v>
      </c>
      <c r="B6" s="32">
        <v>361411.258975</v>
      </c>
      <c r="C6" s="32">
        <v>11120346.43</v>
      </c>
      <c r="D6" s="32">
        <v>0.13</v>
      </c>
      <c r="E6" s="32">
        <f t="shared" si="0"/>
        <v>361411.258975</v>
      </c>
      <c r="F6" s="28">
        <f>'Get Rate for Iteration 9 '!$B$4</f>
        <v>0.14961419228068573</v>
      </c>
      <c r="G6" s="28">
        <f t="shared" si="1"/>
        <v>-21773.864912000427</v>
      </c>
      <c r="H6" s="29">
        <f t="shared" si="2"/>
        <v>10266393.524205305</v>
      </c>
    </row>
    <row r="7" spans="1:8" x14ac:dyDescent="0.2">
      <c r="A7" s="31">
        <v>40587</v>
      </c>
      <c r="B7" s="32">
        <v>361411.258975</v>
      </c>
      <c r="C7" s="32">
        <v>11120346.43</v>
      </c>
      <c r="D7" s="32">
        <v>0.13</v>
      </c>
      <c r="E7" s="32">
        <f t="shared" si="0"/>
        <v>361411.258975</v>
      </c>
      <c r="F7" s="28">
        <f>'Get Rate for Iteration 9 '!$B$4</f>
        <v>0.14961419228068573</v>
      </c>
      <c r="G7" s="28">
        <f t="shared" si="1"/>
        <v>-22588.284714909794</v>
      </c>
      <c r="H7" s="29">
        <f t="shared" si="2"/>
        <v>10288981.808920214</v>
      </c>
    </row>
    <row r="8" spans="1:8" x14ac:dyDescent="0.2">
      <c r="A8" s="31">
        <v>40676</v>
      </c>
      <c r="B8" s="32">
        <v>361411.258975</v>
      </c>
      <c r="C8" s="32">
        <v>11120346.43</v>
      </c>
      <c r="D8" s="32">
        <v>0.13</v>
      </c>
      <c r="E8" s="32">
        <f t="shared" si="0"/>
        <v>361411.258975</v>
      </c>
      <c r="F8" s="28">
        <f>'Get Rate for Iteration 9 '!$B$4</f>
        <v>0.14961419228068573</v>
      </c>
      <c r="G8" s="28">
        <f t="shared" si="1"/>
        <v>-23433.166708066652</v>
      </c>
      <c r="H8" s="29">
        <f t="shared" si="2"/>
        <v>10312414.975628281</v>
      </c>
    </row>
    <row r="9" spans="1:8" x14ac:dyDescent="0.2">
      <c r="A9" s="31">
        <v>40768</v>
      </c>
      <c r="B9" s="32">
        <v>361411.258975</v>
      </c>
      <c r="C9" s="32">
        <v>11120346.43</v>
      </c>
      <c r="D9" s="32">
        <v>0.13</v>
      </c>
      <c r="E9" s="32">
        <f t="shared" si="0"/>
        <v>361411.258975</v>
      </c>
      <c r="F9" s="28">
        <f>'Get Rate for Iteration 9 '!$B$4</f>
        <v>0.14961419228068573</v>
      </c>
      <c r="G9" s="28">
        <f t="shared" si="1"/>
        <v>-24309.650285468146</v>
      </c>
      <c r="H9" s="29">
        <f t="shared" si="2"/>
        <v>10336724.625913749</v>
      </c>
    </row>
    <row r="10" spans="1:8" x14ac:dyDescent="0.2">
      <c r="A10" s="31">
        <v>40860</v>
      </c>
      <c r="B10" s="32">
        <v>361411.258975</v>
      </c>
      <c r="C10" s="32">
        <v>11120346.43</v>
      </c>
      <c r="D10" s="32">
        <v>0.13</v>
      </c>
      <c r="E10" s="32">
        <f t="shared" si="0"/>
        <v>361411.258975</v>
      </c>
      <c r="F10" s="28">
        <f>'Get Rate for Iteration 9 '!$B$4</f>
        <v>0.14961419228068573</v>
      </c>
      <c r="G10" s="28">
        <f t="shared" si="1"/>
        <v>-25218.917458489712</v>
      </c>
      <c r="H10" s="29">
        <f t="shared" si="2"/>
        <v>10361943.543372238</v>
      </c>
    </row>
    <row r="11" spans="1:8" x14ac:dyDescent="0.2">
      <c r="A11" s="31">
        <v>40952</v>
      </c>
      <c r="B11" s="32">
        <v>361411.258975</v>
      </c>
      <c r="C11" s="32">
        <v>11120346.43</v>
      </c>
      <c r="D11" s="32">
        <v>0.13</v>
      </c>
      <c r="E11" s="32">
        <f t="shared" si="0"/>
        <v>361411.258975</v>
      </c>
      <c r="F11" s="28">
        <f>'Get Rate for Iteration 9 '!$B$4</f>
        <v>0.14961419228068573</v>
      </c>
      <c r="G11" s="28">
        <f t="shared" si="1"/>
        <v>-26162.194449926028</v>
      </c>
      <c r="H11" s="29">
        <f t="shared" si="2"/>
        <v>10388105.737822164</v>
      </c>
    </row>
    <row r="12" spans="1:8" x14ac:dyDescent="0.2">
      <c r="A12" s="31">
        <v>41042</v>
      </c>
      <c r="B12" s="32">
        <v>361411.258975</v>
      </c>
      <c r="C12" s="32">
        <v>11120346.43</v>
      </c>
      <c r="D12" s="32">
        <v>0.13</v>
      </c>
      <c r="E12" s="32">
        <f t="shared" si="0"/>
        <v>361411.258975</v>
      </c>
      <c r="F12" s="28">
        <f>'Get Rate for Iteration 9 '!$B$4</f>
        <v>0.14961419228068573</v>
      </c>
      <c r="G12" s="28">
        <f t="shared" si="1"/>
        <v>-27140.753347655002</v>
      </c>
      <c r="H12" s="29">
        <f t="shared" si="2"/>
        <v>10415246.49116982</v>
      </c>
    </row>
    <row r="13" spans="1:8" x14ac:dyDescent="0.2">
      <c r="A13" s="31">
        <v>41134</v>
      </c>
      <c r="B13" s="32">
        <v>361411.258975</v>
      </c>
      <c r="C13" s="32">
        <v>11120346.43</v>
      </c>
      <c r="D13" s="32">
        <v>0.13</v>
      </c>
      <c r="E13" s="32">
        <f t="shared" si="0"/>
        <v>361411.258975</v>
      </c>
      <c r="F13" s="28">
        <f>'Get Rate for Iteration 9 '!$B$4</f>
        <v>0.14961419228068573</v>
      </c>
      <c r="G13" s="28">
        <f t="shared" si="1"/>
        <v>-28155.913820154674</v>
      </c>
      <c r="H13" s="29">
        <f t="shared" si="2"/>
        <v>10443402.404989975</v>
      </c>
    </row>
    <row r="14" spans="1:8" x14ac:dyDescent="0.2">
      <c r="A14" s="31">
        <v>41226</v>
      </c>
      <c r="B14" s="32">
        <v>361411.258975</v>
      </c>
      <c r="C14" s="32">
        <v>11120346.43</v>
      </c>
      <c r="D14" s="32">
        <v>0.13</v>
      </c>
      <c r="E14" s="32">
        <f t="shared" si="0"/>
        <v>361411.258975</v>
      </c>
      <c r="F14" s="28">
        <f>'Get Rate for Iteration 9 '!$B$4</f>
        <v>0.14961419228068573</v>
      </c>
      <c r="G14" s="28">
        <f t="shared" si="1"/>
        <v>-29209.044896186446</v>
      </c>
      <c r="H14" s="29">
        <f t="shared" si="2"/>
        <v>10472611.449886162</v>
      </c>
    </row>
    <row r="15" spans="1:8" x14ac:dyDescent="0.2">
      <c r="A15" s="31">
        <v>41318</v>
      </c>
      <c r="B15" s="32">
        <v>361411.258975</v>
      </c>
      <c r="C15" s="32">
        <v>11120346.43</v>
      </c>
      <c r="D15" s="32">
        <v>0.13</v>
      </c>
      <c r="E15" s="32">
        <f t="shared" si="0"/>
        <v>361411.258975</v>
      </c>
      <c r="F15" s="28">
        <f>'Get Rate for Iteration 9 '!$B$4</f>
        <v>0.14961419228068573</v>
      </c>
      <c r="G15" s="28">
        <f t="shared" si="1"/>
        <v>-30301.566811044817</v>
      </c>
      <c r="H15" s="29">
        <f t="shared" si="2"/>
        <v>10502913.016697207</v>
      </c>
    </row>
    <row r="16" spans="1:8" x14ac:dyDescent="0.2">
      <c r="A16" s="31">
        <v>41407</v>
      </c>
      <c r="B16" s="32">
        <v>361411.258975</v>
      </c>
      <c r="C16" s="32">
        <v>11120346.43</v>
      </c>
      <c r="D16" s="32">
        <v>0.13</v>
      </c>
      <c r="E16" s="32">
        <f t="shared" si="0"/>
        <v>361411.258975</v>
      </c>
      <c r="F16" s="28">
        <f>'Get Rate for Iteration 9 '!$B$4</f>
        <v>0.14961419228068573</v>
      </c>
      <c r="G16" s="28">
        <f t="shared" si="1"/>
        <v>-31434.952921863238</v>
      </c>
      <c r="H16" s="29">
        <f t="shared" si="2"/>
        <v>10534347.969619071</v>
      </c>
    </row>
    <row r="17" spans="1:8" x14ac:dyDescent="0.2">
      <c r="A17" s="31">
        <v>41499</v>
      </c>
      <c r="B17" s="32">
        <v>361411.258975</v>
      </c>
      <c r="C17" s="32">
        <v>11120346.43</v>
      </c>
      <c r="D17" s="32">
        <v>0.13</v>
      </c>
      <c r="E17" s="32">
        <f t="shared" si="0"/>
        <v>361411.258975</v>
      </c>
      <c r="F17" s="28">
        <f>'Get Rate for Iteration 9 '!$B$4</f>
        <v>0.14961419228068573</v>
      </c>
      <c r="G17" s="28">
        <f t="shared" si="1"/>
        <v>-32610.731694559741</v>
      </c>
      <c r="H17" s="29">
        <f t="shared" si="2"/>
        <v>10566958.701313632</v>
      </c>
    </row>
    <row r="18" spans="1:8" x14ac:dyDescent="0.2">
      <c r="A18" s="31">
        <v>41591</v>
      </c>
      <c r="B18" s="32">
        <v>361411.258975</v>
      </c>
      <c r="C18" s="32">
        <v>11120346.43</v>
      </c>
      <c r="D18" s="32">
        <v>0.13</v>
      </c>
      <c r="E18" s="32">
        <f t="shared" si="0"/>
        <v>361411.258975</v>
      </c>
      <c r="F18" s="28">
        <f>'Get Rate for Iteration 9 '!$B$4</f>
        <v>0.14961419228068573</v>
      </c>
      <c r="G18" s="28">
        <f t="shared" si="1"/>
        <v>-33830.488765100716</v>
      </c>
      <c r="H18" s="29">
        <f t="shared" si="2"/>
        <v>10600789.190078732</v>
      </c>
    </row>
    <row r="19" spans="1:8" x14ac:dyDescent="0.2">
      <c r="A19" s="31">
        <v>41683</v>
      </c>
      <c r="B19" s="32">
        <v>361411.258975</v>
      </c>
      <c r="C19" s="32">
        <v>11120346.43</v>
      </c>
      <c r="D19" s="32">
        <v>0.13</v>
      </c>
      <c r="E19" s="32">
        <f t="shared" si="0"/>
        <v>361411.258975</v>
      </c>
      <c r="F19" s="28">
        <f>'Get Rate for Iteration 9 '!$B$4</f>
        <v>0.14961419228068573</v>
      </c>
      <c r="G19" s="28">
        <f t="shared" si="1"/>
        <v>-35095.869077863521</v>
      </c>
      <c r="H19" s="29">
        <f t="shared" si="2"/>
        <v>10635885.059156595</v>
      </c>
    </row>
    <row r="20" spans="1:8" x14ac:dyDescent="0.2">
      <c r="A20" s="31">
        <v>41772</v>
      </c>
      <c r="B20" s="32">
        <v>361411.258975</v>
      </c>
      <c r="C20" s="32">
        <v>11120346.43</v>
      </c>
      <c r="D20" s="32">
        <v>0.13</v>
      </c>
      <c r="E20" s="32">
        <f t="shared" si="0"/>
        <v>361411.258975</v>
      </c>
      <c r="F20" s="28">
        <f>'Get Rate for Iteration 9 '!$B$4</f>
        <v>0.14961419228068573</v>
      </c>
      <c r="G20" s="28">
        <f t="shared" si="1"/>
        <v>-36408.579103981843</v>
      </c>
      <c r="H20" s="29">
        <f t="shared" si="2"/>
        <v>10672293.638260577</v>
      </c>
    </row>
    <row r="21" spans="1:8" x14ac:dyDescent="0.2">
      <c r="A21" s="31">
        <v>41864</v>
      </c>
      <c r="B21" s="32">
        <v>361411.258975</v>
      </c>
      <c r="C21" s="32">
        <v>11120346.43</v>
      </c>
      <c r="D21" s="32">
        <v>0.13</v>
      </c>
      <c r="E21" s="32">
        <f t="shared" si="0"/>
        <v>361411.258975</v>
      </c>
      <c r="F21" s="28">
        <f>'Get Rate for Iteration 9 '!$B$4</f>
        <v>0.14961419228068573</v>
      </c>
      <c r="G21" s="28">
        <f t="shared" si="1"/>
        <v>-37770.389142664266</v>
      </c>
      <c r="H21" s="29">
        <f t="shared" si="2"/>
        <v>10710064.027403241</v>
      </c>
    </row>
    <row r="22" spans="1:8" x14ac:dyDescent="0.2">
      <c r="A22" s="31">
        <v>41956</v>
      </c>
      <c r="B22" s="32">
        <v>361411.258975</v>
      </c>
      <c r="C22" s="32">
        <v>11120346.43</v>
      </c>
      <c r="D22" s="32">
        <v>0.13</v>
      </c>
      <c r="E22" s="32">
        <f t="shared" si="0"/>
        <v>361411.258975</v>
      </c>
      <c r="F22" s="28">
        <f>'Get Rate for Iteration 9 '!$B$4</f>
        <v>0.14961419228068573</v>
      </c>
      <c r="G22" s="28">
        <f t="shared" si="1"/>
        <v>-39183.135708590969</v>
      </c>
      <c r="H22" s="29">
        <f t="shared" si="2"/>
        <v>10749247.163111832</v>
      </c>
    </row>
    <row r="23" spans="1:8" x14ac:dyDescent="0.2">
      <c r="A23" s="31">
        <v>42048</v>
      </c>
      <c r="B23" s="32">
        <v>361411.258975</v>
      </c>
      <c r="C23" s="32">
        <v>11120346.43</v>
      </c>
      <c r="D23" s="32">
        <v>0.13</v>
      </c>
      <c r="E23" s="32">
        <f t="shared" si="0"/>
        <v>361411.258975</v>
      </c>
      <c r="F23" s="28">
        <f>'Get Rate for Iteration 9 '!$B$4</f>
        <v>0.14961419228068573</v>
      </c>
      <c r="G23" s="28">
        <f t="shared" si="1"/>
        <v>-40648.724008607329</v>
      </c>
      <c r="H23" s="29">
        <f t="shared" si="2"/>
        <v>10789895.887120439</v>
      </c>
    </row>
    <row r="24" spans="1:8" x14ac:dyDescent="0.2">
      <c r="A24" s="31">
        <v>42137</v>
      </c>
      <c r="B24" s="32">
        <v>361411.258975</v>
      </c>
      <c r="C24" s="32">
        <v>11120346.43</v>
      </c>
      <c r="D24" s="32">
        <v>0.13</v>
      </c>
      <c r="E24" s="32">
        <f t="shared" si="0"/>
        <v>361411.258975</v>
      </c>
      <c r="F24" s="28">
        <f>'Get Rate for Iteration 9 '!$B$4</f>
        <v>0.14961419228068573</v>
      </c>
      <c r="G24" s="28">
        <f t="shared" si="1"/>
        <v>-42169.130511054362</v>
      </c>
      <c r="H24" s="29">
        <f t="shared" si="2"/>
        <v>10832065.017631494</v>
      </c>
    </row>
    <row r="25" spans="1:8" x14ac:dyDescent="0.2">
      <c r="A25" s="31">
        <v>42229</v>
      </c>
      <c r="B25" s="32">
        <v>361411.258975</v>
      </c>
      <c r="C25" s="32">
        <v>11120346.43</v>
      </c>
      <c r="D25" s="32">
        <v>0.13</v>
      </c>
      <c r="E25" s="32">
        <f t="shared" si="0"/>
        <v>361411.258975</v>
      </c>
      <c r="F25" s="28">
        <f>'Get Rate for Iteration 9 '!$B$4</f>
        <v>0.14961419228068573</v>
      </c>
      <c r="G25" s="28">
        <f t="shared" si="1"/>
        <v>-43746.405611201946</v>
      </c>
      <c r="H25" s="29">
        <f t="shared" si="2"/>
        <v>10875811.423242696</v>
      </c>
    </row>
    <row r="26" spans="1:8" x14ac:dyDescent="0.2">
      <c r="A26" s="31">
        <v>42321</v>
      </c>
      <c r="B26" s="32">
        <v>361411.258975</v>
      </c>
      <c r="C26" s="32">
        <v>11120346.43</v>
      </c>
      <c r="D26" s="32">
        <v>0.13</v>
      </c>
      <c r="E26" s="32">
        <f t="shared" si="0"/>
        <v>361411.258975</v>
      </c>
      <c r="F26" s="28">
        <f>'Get Rate for Iteration 9 '!$B$4</f>
        <v>0.14961419228068573</v>
      </c>
      <c r="G26" s="28">
        <f t="shared" si="1"/>
        <v>-45382.676396377734</v>
      </c>
      <c r="H26" s="29">
        <f t="shared" si="2"/>
        <v>10921194.099639073</v>
      </c>
    </row>
    <row r="27" spans="1:8" x14ac:dyDescent="0.2">
      <c r="A27" s="31">
        <v>42413</v>
      </c>
      <c r="B27" s="32">
        <v>361411.258975</v>
      </c>
      <c r="C27" s="32">
        <v>11120346.43</v>
      </c>
      <c r="D27" s="32">
        <v>0.13</v>
      </c>
      <c r="E27" s="32">
        <f t="shared" si="0"/>
        <v>361411.258975</v>
      </c>
      <c r="F27" s="28">
        <f>'Get Rate for Iteration 9 '!$B$4</f>
        <v>0.14961419228068573</v>
      </c>
      <c r="G27" s="28">
        <f t="shared" si="1"/>
        <v>-47080.149514522695</v>
      </c>
      <c r="H27" s="29">
        <f t="shared" si="2"/>
        <v>10968274.249153595</v>
      </c>
    </row>
    <row r="28" spans="1:8" x14ac:dyDescent="0.2">
      <c r="A28" s="31">
        <v>42503</v>
      </c>
      <c r="B28" s="32">
        <v>361411.258975</v>
      </c>
      <c r="C28" s="32">
        <v>11120346.43</v>
      </c>
      <c r="D28" s="32">
        <v>0.13</v>
      </c>
      <c r="E28" s="32">
        <f t="shared" si="0"/>
        <v>361411.258975</v>
      </c>
      <c r="F28" s="28">
        <f>'Get Rate for Iteration 9 '!$B$4</f>
        <v>0.14961419228068573</v>
      </c>
      <c r="G28" s="28">
        <f t="shared" si="1"/>
        <v>-48841.114150039968</v>
      </c>
      <c r="H28" s="29">
        <f t="shared" si="2"/>
        <v>11017115.363303635</v>
      </c>
    </row>
    <row r="29" spans="1:8" x14ac:dyDescent="0.2">
      <c r="A29" s="31">
        <v>42595</v>
      </c>
      <c r="B29" s="32">
        <v>361411.258975</v>
      </c>
      <c r="C29" s="32">
        <v>11120346.43</v>
      </c>
      <c r="D29" s="32">
        <v>0.13</v>
      </c>
      <c r="E29" s="32">
        <f t="shared" si="0"/>
        <v>361411.258975</v>
      </c>
      <c r="F29" s="28">
        <f>'Get Rate for Iteration 9 '!$B$4</f>
        <v>0.14961419228068573</v>
      </c>
      <c r="G29" s="28">
        <f t="shared" si="1"/>
        <v>-50667.945110951725</v>
      </c>
      <c r="H29" s="29">
        <f t="shared" si="2"/>
        <v>11067783.308414588</v>
      </c>
    </row>
    <row r="30" spans="1:8" x14ac:dyDescent="0.2">
      <c r="A30" s="31">
        <v>42687</v>
      </c>
      <c r="B30" s="32">
        <f>+B29</f>
        <v>361411.258975</v>
      </c>
      <c r="C30" s="32">
        <v>11120346.43</v>
      </c>
      <c r="D30" s="32">
        <v>0.13</v>
      </c>
      <c r="E30" s="32">
        <f t="shared" si="0"/>
        <v>361411.258975</v>
      </c>
      <c r="F30" s="28">
        <f>'Get Rate for Iteration 9 '!$B$4</f>
        <v>0.14961419228068573</v>
      </c>
      <c r="G30" s="28">
        <f t="shared" si="1"/>
        <v>-52563.106031526055</v>
      </c>
      <c r="H30" s="29">
        <f t="shared" si="2"/>
        <v>11120346.414446114</v>
      </c>
    </row>
    <row r="33" spans="2:7" x14ac:dyDescent="0.2">
      <c r="B33" s="13"/>
      <c r="C33" s="13"/>
      <c r="D33" s="13"/>
      <c r="E33" s="13"/>
    </row>
    <row r="34" spans="2:7" x14ac:dyDescent="0.2">
      <c r="B34" s="2"/>
      <c r="C34" s="2"/>
      <c r="D34" s="30"/>
      <c r="E34" s="2"/>
      <c r="F34" t="s">
        <v>33</v>
      </c>
      <c r="G34" s="2">
        <f>H30-C2</f>
        <v>-1.5553886070847511E-2</v>
      </c>
    </row>
    <row r="35" spans="2:7" x14ac:dyDescent="0.2">
      <c r="D35" s="27"/>
    </row>
    <row r="36" spans="2:7" x14ac:dyDescent="0.2">
      <c r="D36" s="27"/>
      <c r="F36" t="s">
        <v>34</v>
      </c>
      <c r="G36">
        <v>0.01</v>
      </c>
    </row>
    <row r="37" spans="2:7" x14ac:dyDescent="0.2">
      <c r="D37" s="23"/>
    </row>
    <row r="38" spans="2:7" x14ac:dyDescent="0.2">
      <c r="D38" s="23"/>
    </row>
  </sheetData>
  <phoneticPr fontId="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C8"/>
  <sheetViews>
    <sheetView workbookViewId="0">
      <selection activeCell="L41" sqref="L41"/>
    </sheetView>
  </sheetViews>
  <sheetFormatPr defaultRowHeight="12.75" x14ac:dyDescent="0.2"/>
  <cols>
    <col min="2" max="2" width="14.5703125" bestFit="1" customWidth="1"/>
  </cols>
  <sheetData>
    <row r="1" spans="1:3" x14ac:dyDescent="0.2">
      <c r="A1" t="s">
        <v>2</v>
      </c>
    </row>
    <row r="4" spans="1:3" x14ac:dyDescent="0.2">
      <c r="A4" s="4" t="s">
        <v>5</v>
      </c>
      <c r="B4" s="25">
        <f>B5-B7*(B5-B6)/(B7-B8)</f>
        <v>0.14961419240429896</v>
      </c>
      <c r="C4" t="s">
        <v>12</v>
      </c>
    </row>
    <row r="5" spans="1:3" x14ac:dyDescent="0.2">
      <c r="A5" s="5" t="s">
        <v>3</v>
      </c>
      <c r="B5">
        <f>'Iteration 9 '!F2</f>
        <v>0.14961419228068573</v>
      </c>
      <c r="C5" t="s">
        <v>8</v>
      </c>
    </row>
    <row r="6" spans="1:3" x14ac:dyDescent="0.2">
      <c r="A6" s="5" t="s">
        <v>4</v>
      </c>
      <c r="B6">
        <f>'Iteration 8 '!F2</f>
        <v>0.14961373046597398</v>
      </c>
      <c r="C6" t="s">
        <v>9</v>
      </c>
    </row>
    <row r="7" spans="1:3" x14ac:dyDescent="0.2">
      <c r="A7" s="5" t="s">
        <v>6</v>
      </c>
      <c r="B7" s="2">
        <f>'Iteration 9 '!G34</f>
        <v>-1.5553886070847511E-2</v>
      </c>
      <c r="C7" t="s">
        <v>10</v>
      </c>
    </row>
    <row r="8" spans="1:3" x14ac:dyDescent="0.2">
      <c r="A8" s="5" t="s">
        <v>7</v>
      </c>
      <c r="B8" s="2">
        <f>'Iteration 8 '!G34</f>
        <v>-58.12433534860611</v>
      </c>
      <c r="C8" t="s">
        <v>11</v>
      </c>
    </row>
  </sheetData>
  <phoneticPr fontId="7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33"/>
  </sheetPr>
  <dimension ref="A1:H36"/>
  <sheetViews>
    <sheetView workbookViewId="0">
      <selection activeCell="J39" sqref="J39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3" width="14.5703125" customWidth="1"/>
    <col min="4" max="4" width="21.85546875" customWidth="1"/>
    <col min="5" max="5" width="14.5703125" customWidth="1"/>
    <col min="6" max="6" width="13.42578125" customWidth="1"/>
    <col min="7" max="7" width="14.85546875" customWidth="1"/>
    <col min="8" max="8" width="13.42578125" customWidth="1"/>
  </cols>
  <sheetData>
    <row r="1" spans="1:8" x14ac:dyDescent="0.2">
      <c r="A1" s="7" t="s">
        <v>13</v>
      </c>
      <c r="B1" s="7" t="s">
        <v>0</v>
      </c>
      <c r="C1" s="7" t="s">
        <v>15</v>
      </c>
      <c r="D1" s="7" t="s">
        <v>30</v>
      </c>
      <c r="E1" s="7" t="s">
        <v>32</v>
      </c>
      <c r="F1" s="7" t="s">
        <v>31</v>
      </c>
      <c r="G1" s="7" t="s">
        <v>27</v>
      </c>
      <c r="H1" s="7" t="s">
        <v>25</v>
      </c>
    </row>
    <row r="2" spans="1:8" x14ac:dyDescent="0.2">
      <c r="A2" s="31">
        <v>40130</v>
      </c>
      <c r="B2" s="32">
        <v>-10183896.199999999</v>
      </c>
      <c r="C2" s="32">
        <v>11120346.43</v>
      </c>
      <c r="D2" s="32">
        <v>0.13</v>
      </c>
      <c r="E2" s="32" t="s">
        <v>1</v>
      </c>
      <c r="F2" s="28">
        <f>'Get Rate for Iteration 10 '!$B$4</f>
        <v>0.14961419240429896</v>
      </c>
      <c r="G2" s="28"/>
      <c r="H2" s="29">
        <f>+B2*-1</f>
        <v>10183896.199999999</v>
      </c>
    </row>
    <row r="3" spans="1:8" x14ac:dyDescent="0.2">
      <c r="A3" s="31">
        <v>40222</v>
      </c>
      <c r="B3" s="32">
        <v>361411.258975</v>
      </c>
      <c r="C3" s="32">
        <v>11120346.43</v>
      </c>
      <c r="D3" s="32">
        <v>0.13</v>
      </c>
      <c r="E3" s="32">
        <f>+D3*C3*0.25</f>
        <v>361411.258975</v>
      </c>
      <c r="F3" s="28">
        <f>'Get Rate for Iteration 10 '!$B$4</f>
        <v>0.14961419240429896</v>
      </c>
      <c r="G3" s="28">
        <f>E3-((H2*0.25*F3))</f>
        <v>-19502.59239805222</v>
      </c>
      <c r="H3" s="29">
        <f>+H2-G3</f>
        <v>10203398.792398052</v>
      </c>
    </row>
    <row r="4" spans="1:8" x14ac:dyDescent="0.2">
      <c r="A4" s="31">
        <v>40311</v>
      </c>
      <c r="B4" s="32">
        <v>361411.258975</v>
      </c>
      <c r="C4" s="32">
        <v>11120346.43</v>
      </c>
      <c r="D4" s="32">
        <v>0.13</v>
      </c>
      <c r="E4" s="32">
        <f t="shared" ref="E4:E30" si="0">+D4*C4*0.25</f>
        <v>361411.258975</v>
      </c>
      <c r="F4" s="28">
        <f>'Get Rate for Iteration 10 '!$B$4</f>
        <v>0.14961419240429896</v>
      </c>
      <c r="G4" s="28">
        <f t="shared" ref="G4:G30" si="1">E4-((H3*0.25*F4))</f>
        <v>-20232.058550908463</v>
      </c>
      <c r="H4" s="29">
        <f t="shared" ref="H4:H30" si="2">+H3-G4</f>
        <v>10223630.850948961</v>
      </c>
    </row>
    <row r="5" spans="1:8" x14ac:dyDescent="0.2">
      <c r="A5" s="31">
        <v>40403</v>
      </c>
      <c r="B5" s="32">
        <v>361411.258975</v>
      </c>
      <c r="C5" s="32">
        <v>11120346.43</v>
      </c>
      <c r="D5" s="32">
        <v>0.13</v>
      </c>
      <c r="E5" s="32">
        <f t="shared" si="0"/>
        <v>361411.258975</v>
      </c>
      <c r="F5" s="28">
        <f>'Get Rate for Iteration 10 '!$B$4</f>
        <v>0.14961419240429896</v>
      </c>
      <c r="G5" s="28">
        <f t="shared" si="1"/>
        <v>-20988.809326101153</v>
      </c>
      <c r="H5" s="29">
        <f t="shared" si="2"/>
        <v>10244619.660275063</v>
      </c>
    </row>
    <row r="6" spans="1:8" x14ac:dyDescent="0.2">
      <c r="A6" s="31">
        <v>40495</v>
      </c>
      <c r="B6" s="32">
        <v>361411.258975</v>
      </c>
      <c r="C6" s="32">
        <v>11120346.43</v>
      </c>
      <c r="D6" s="32">
        <v>0.13</v>
      </c>
      <c r="E6" s="32">
        <f t="shared" si="0"/>
        <v>361411.258975</v>
      </c>
      <c r="F6" s="28">
        <f>'Get Rate for Iteration 10 '!$B$4</f>
        <v>0.14961419240429896</v>
      </c>
      <c r="G6" s="28">
        <f t="shared" si="1"/>
        <v>-21773.865265314293</v>
      </c>
      <c r="H6" s="29">
        <f t="shared" si="2"/>
        <v>10266393.525540376</v>
      </c>
    </row>
    <row r="7" spans="1:8" x14ac:dyDescent="0.2">
      <c r="A7" s="31">
        <v>40587</v>
      </c>
      <c r="B7" s="32">
        <v>361411.258975</v>
      </c>
      <c r="C7" s="32">
        <v>11120346.43</v>
      </c>
      <c r="D7" s="32">
        <v>0.13</v>
      </c>
      <c r="E7" s="32">
        <f t="shared" si="0"/>
        <v>361411.258975</v>
      </c>
      <c r="F7" s="28">
        <f>'Get Rate for Iteration 10 '!$B$4</f>
        <v>0.14961419240429896</v>
      </c>
      <c r="G7" s="28">
        <f t="shared" si="1"/>
        <v>-22588.285082111717</v>
      </c>
      <c r="H7" s="29">
        <f t="shared" si="2"/>
        <v>10288981.810622487</v>
      </c>
    </row>
    <row r="8" spans="1:8" x14ac:dyDescent="0.2">
      <c r="A8" s="31">
        <v>40676</v>
      </c>
      <c r="B8" s="32">
        <v>361411.258975</v>
      </c>
      <c r="C8" s="32">
        <v>11120346.43</v>
      </c>
      <c r="D8" s="32">
        <v>0.13</v>
      </c>
      <c r="E8" s="32">
        <f t="shared" si="0"/>
        <v>361411.258975</v>
      </c>
      <c r="F8" s="28">
        <f>'Get Rate for Iteration 10 '!$B$4</f>
        <v>0.14961419240429896</v>
      </c>
      <c r="G8" s="28">
        <f t="shared" si="1"/>
        <v>-23433.167089701281</v>
      </c>
      <c r="H8" s="29">
        <f t="shared" si="2"/>
        <v>10312414.977712188</v>
      </c>
    </row>
    <row r="9" spans="1:8" x14ac:dyDescent="0.2">
      <c r="A9" s="31">
        <v>40768</v>
      </c>
      <c r="B9" s="32">
        <v>361411.258975</v>
      </c>
      <c r="C9" s="32">
        <v>11120346.43</v>
      </c>
      <c r="D9" s="32">
        <v>0.13</v>
      </c>
      <c r="E9" s="32">
        <f t="shared" si="0"/>
        <v>361411.258975</v>
      </c>
      <c r="F9" s="28">
        <f>'Get Rate for Iteration 10 '!$B$4</f>
        <v>0.14961419240429896</v>
      </c>
      <c r="G9" s="28">
        <f t="shared" si="1"/>
        <v>-24309.650682101434</v>
      </c>
      <c r="H9" s="29">
        <f t="shared" si="2"/>
        <v>10336724.628394289</v>
      </c>
    </row>
    <row r="10" spans="1:8" x14ac:dyDescent="0.2">
      <c r="A10" s="31">
        <v>40860</v>
      </c>
      <c r="B10" s="32">
        <v>361411.258975</v>
      </c>
      <c r="C10" s="32">
        <v>11120346.43</v>
      </c>
      <c r="D10" s="32">
        <v>0.13</v>
      </c>
      <c r="E10" s="32">
        <f t="shared" si="0"/>
        <v>361411.258975</v>
      </c>
      <c r="F10" s="28">
        <f>'Get Rate for Iteration 10 '!$B$4</f>
        <v>0.14961419240429896</v>
      </c>
      <c r="G10" s="28">
        <f t="shared" si="1"/>
        <v>-25218.917870709731</v>
      </c>
      <c r="H10" s="29">
        <f t="shared" si="2"/>
        <v>10361943.546264999</v>
      </c>
    </row>
    <row r="11" spans="1:8" x14ac:dyDescent="0.2">
      <c r="A11" s="31">
        <v>40952</v>
      </c>
      <c r="B11" s="32">
        <v>361411.258975</v>
      </c>
      <c r="C11" s="32">
        <v>11120346.43</v>
      </c>
      <c r="D11" s="32">
        <v>0.13</v>
      </c>
      <c r="E11" s="32">
        <f t="shared" si="0"/>
        <v>361411.258975</v>
      </c>
      <c r="F11" s="28">
        <f>'Get Rate for Iteration 10 '!$B$4</f>
        <v>0.14961419240429896</v>
      </c>
      <c r="G11" s="28">
        <f t="shared" si="1"/>
        <v>-26162.194878343842</v>
      </c>
      <c r="H11" s="29">
        <f t="shared" si="2"/>
        <v>10388105.741143342</v>
      </c>
    </row>
    <row r="12" spans="1:8" x14ac:dyDescent="0.2">
      <c r="A12" s="31">
        <v>41042</v>
      </c>
      <c r="B12" s="32">
        <v>361411.258975</v>
      </c>
      <c r="C12" s="32">
        <v>11120346.43</v>
      </c>
      <c r="D12" s="32">
        <v>0.13</v>
      </c>
      <c r="E12" s="32">
        <f t="shared" si="0"/>
        <v>361411.258975</v>
      </c>
      <c r="F12" s="28">
        <f>'Get Rate for Iteration 10 '!$B$4</f>
        <v>0.14961419240429896</v>
      </c>
      <c r="G12" s="28">
        <f t="shared" si="1"/>
        <v>-27140.753792905656</v>
      </c>
      <c r="H12" s="29">
        <f t="shared" si="2"/>
        <v>10415246.494936248</v>
      </c>
    </row>
    <row r="13" spans="1:8" x14ac:dyDescent="0.2">
      <c r="A13" s="31">
        <v>41134</v>
      </c>
      <c r="B13" s="32">
        <v>361411.258975</v>
      </c>
      <c r="C13" s="32">
        <v>11120346.43</v>
      </c>
      <c r="D13" s="32">
        <v>0.13</v>
      </c>
      <c r="E13" s="32">
        <f t="shared" si="0"/>
        <v>361411.258975</v>
      </c>
      <c r="F13" s="28">
        <f>'Get Rate for Iteration 10 '!$B$4</f>
        <v>0.14961419240429896</v>
      </c>
      <c r="G13" s="28">
        <f t="shared" si="1"/>
        <v>-28155.914282898069</v>
      </c>
      <c r="H13" s="29">
        <f t="shared" si="2"/>
        <v>10443402.409219146</v>
      </c>
    </row>
    <row r="14" spans="1:8" x14ac:dyDescent="0.2">
      <c r="A14" s="31">
        <v>41226</v>
      </c>
      <c r="B14" s="32">
        <v>361411.258975</v>
      </c>
      <c r="C14" s="32">
        <v>11120346.43</v>
      </c>
      <c r="D14" s="32">
        <v>0.13</v>
      </c>
      <c r="E14" s="32">
        <f t="shared" si="0"/>
        <v>361411.258975</v>
      </c>
      <c r="F14" s="28">
        <f>'Get Rate for Iteration 10 '!$B$4</f>
        <v>0.14961419240429896</v>
      </c>
      <c r="G14" s="28">
        <f t="shared" si="1"/>
        <v>-29209.045377108152</v>
      </c>
      <c r="H14" s="29">
        <f t="shared" si="2"/>
        <v>10472611.454596253</v>
      </c>
    </row>
    <row r="15" spans="1:8" x14ac:dyDescent="0.2">
      <c r="A15" s="31">
        <v>41318</v>
      </c>
      <c r="B15" s="32">
        <v>361411.258975</v>
      </c>
      <c r="C15" s="32">
        <v>11120346.43</v>
      </c>
      <c r="D15" s="32">
        <v>0.13</v>
      </c>
      <c r="E15" s="32">
        <f t="shared" si="0"/>
        <v>361411.258975</v>
      </c>
      <c r="F15" s="28">
        <f>'Get Rate for Iteration 10 '!$B$4</f>
        <v>0.14961419240429896</v>
      </c>
      <c r="G15" s="28">
        <f t="shared" si="1"/>
        <v>-30301.567310857237</v>
      </c>
      <c r="H15" s="29">
        <f t="shared" si="2"/>
        <v>10502913.02190711</v>
      </c>
    </row>
    <row r="16" spans="1:8" x14ac:dyDescent="0.2">
      <c r="A16" s="31">
        <v>41407</v>
      </c>
      <c r="B16" s="32">
        <v>361411.258975</v>
      </c>
      <c r="C16" s="32">
        <v>11120346.43</v>
      </c>
      <c r="D16" s="32">
        <v>0.13</v>
      </c>
      <c r="E16" s="32">
        <f t="shared" si="0"/>
        <v>361411.258975</v>
      </c>
      <c r="F16" s="28">
        <f>'Get Rate for Iteration 10 '!$B$4</f>
        <v>0.14961419240429896</v>
      </c>
      <c r="G16" s="28">
        <f t="shared" si="1"/>
        <v>-31434.953441306832</v>
      </c>
      <c r="H16" s="29">
        <f t="shared" si="2"/>
        <v>10534347.975348417</v>
      </c>
    </row>
    <row r="17" spans="1:8" x14ac:dyDescent="0.2">
      <c r="A17" s="31">
        <v>41499</v>
      </c>
      <c r="B17" s="32">
        <v>361411.258975</v>
      </c>
      <c r="C17" s="32">
        <v>11120346.43</v>
      </c>
      <c r="D17" s="32">
        <v>0.13</v>
      </c>
      <c r="E17" s="32">
        <f t="shared" si="0"/>
        <v>361411.258975</v>
      </c>
      <c r="F17" s="28">
        <f>'Get Rate for Iteration 10 '!$B$4</f>
        <v>0.14961419240429896</v>
      </c>
      <c r="G17" s="28">
        <f t="shared" si="1"/>
        <v>-32610.732234403782</v>
      </c>
      <c r="H17" s="29">
        <f t="shared" si="2"/>
        <v>10566958.70758282</v>
      </c>
    </row>
    <row r="18" spans="1:8" x14ac:dyDescent="0.2">
      <c r="A18" s="31">
        <v>41591</v>
      </c>
      <c r="B18" s="32">
        <v>361411.258975</v>
      </c>
      <c r="C18" s="32">
        <v>11120346.43</v>
      </c>
      <c r="D18" s="32">
        <v>0.13</v>
      </c>
      <c r="E18" s="32">
        <f t="shared" si="0"/>
        <v>361411.258975</v>
      </c>
      <c r="F18" s="28">
        <f>'Get Rate for Iteration 10 '!$B$4</f>
        <v>0.14961419240429896</v>
      </c>
      <c r="G18" s="28">
        <f t="shared" si="1"/>
        <v>-33830.489326144569</v>
      </c>
      <c r="H18" s="29">
        <f t="shared" si="2"/>
        <v>10600789.196908966</v>
      </c>
    </row>
    <row r="19" spans="1:8" x14ac:dyDescent="0.2">
      <c r="A19" s="31">
        <v>41683</v>
      </c>
      <c r="B19" s="32">
        <v>361411.258975</v>
      </c>
      <c r="C19" s="32">
        <v>11120346.43</v>
      </c>
      <c r="D19" s="32">
        <v>0.13</v>
      </c>
      <c r="E19" s="32">
        <f t="shared" si="0"/>
        <v>361411.258975</v>
      </c>
      <c r="F19" s="28">
        <f>'Get Rate for Iteration 10 '!$B$4</f>
        <v>0.14961419240429896</v>
      </c>
      <c r="G19" s="28">
        <f t="shared" si="1"/>
        <v>-35095.869660937984</v>
      </c>
      <c r="H19" s="29">
        <f t="shared" si="2"/>
        <v>10635885.066569904</v>
      </c>
    </row>
    <row r="20" spans="1:8" x14ac:dyDescent="0.2">
      <c r="A20" s="31">
        <v>41772</v>
      </c>
      <c r="B20" s="32">
        <v>361411.258975</v>
      </c>
      <c r="C20" s="32">
        <v>11120346.43</v>
      </c>
      <c r="D20" s="32">
        <v>0.13</v>
      </c>
      <c r="E20" s="32">
        <f t="shared" si="0"/>
        <v>361411.258975</v>
      </c>
      <c r="F20" s="28">
        <f>'Get Rate for Iteration 10 '!$B$4</f>
        <v>0.14961419240429896</v>
      </c>
      <c r="G20" s="28">
        <f t="shared" si="1"/>
        <v>-36408.579709949903</v>
      </c>
      <c r="H20" s="29">
        <f t="shared" si="2"/>
        <v>10672293.646279853</v>
      </c>
    </row>
    <row r="21" spans="1:8" x14ac:dyDescent="0.2">
      <c r="A21" s="31">
        <v>41864</v>
      </c>
      <c r="B21" s="32">
        <v>361411.258975</v>
      </c>
      <c r="C21" s="32">
        <v>11120346.43</v>
      </c>
      <c r="D21" s="32">
        <v>0.13</v>
      </c>
      <c r="E21" s="32">
        <f t="shared" si="0"/>
        <v>361411.258975</v>
      </c>
      <c r="F21" s="28">
        <f>'Get Rate for Iteration 10 '!$B$4</f>
        <v>0.14961419240429896</v>
      </c>
      <c r="G21" s="28">
        <f t="shared" si="1"/>
        <v>-37770.389772422786</v>
      </c>
      <c r="H21" s="29">
        <f t="shared" si="2"/>
        <v>10710064.036052275</v>
      </c>
    </row>
    <row r="22" spans="1:8" x14ac:dyDescent="0.2">
      <c r="A22" s="31">
        <v>41956</v>
      </c>
      <c r="B22" s="32">
        <v>361411.258975</v>
      </c>
      <c r="C22" s="32">
        <v>11120346.43</v>
      </c>
      <c r="D22" s="32">
        <v>0.13</v>
      </c>
      <c r="E22" s="32">
        <f t="shared" si="0"/>
        <v>361411.258975</v>
      </c>
      <c r="F22" s="28">
        <f>'Get Rate for Iteration 10 '!$B$4</f>
        <v>0.14961419240429896</v>
      </c>
      <c r="G22" s="28">
        <f t="shared" si="1"/>
        <v>-39183.136363071972</v>
      </c>
      <c r="H22" s="29">
        <f t="shared" si="2"/>
        <v>10749247.172415348</v>
      </c>
    </row>
    <row r="23" spans="1:8" x14ac:dyDescent="0.2">
      <c r="A23" s="31">
        <v>42048</v>
      </c>
      <c r="B23" s="32">
        <v>361411.258975</v>
      </c>
      <c r="C23" s="32">
        <v>11120346.43</v>
      </c>
      <c r="D23" s="32">
        <v>0.13</v>
      </c>
      <c r="E23" s="32">
        <f t="shared" si="0"/>
        <v>361411.258975</v>
      </c>
      <c r="F23" s="28">
        <f>'Get Rate for Iteration 10 '!$B$4</f>
        <v>0.14961419240429896</v>
      </c>
      <c r="G23" s="28">
        <f t="shared" si="1"/>
        <v>-40648.724688779097</v>
      </c>
      <c r="H23" s="29">
        <f t="shared" si="2"/>
        <v>10789895.897104127</v>
      </c>
    </row>
    <row r="24" spans="1:8" x14ac:dyDescent="0.2">
      <c r="A24" s="31">
        <v>42137</v>
      </c>
      <c r="B24" s="32">
        <v>361411.258975</v>
      </c>
      <c r="C24" s="32">
        <v>11120346.43</v>
      </c>
      <c r="D24" s="32">
        <v>0.13</v>
      </c>
      <c r="E24" s="32">
        <f t="shared" si="0"/>
        <v>361411.258975</v>
      </c>
      <c r="F24" s="28">
        <f>'Get Rate for Iteration 10 '!$B$4</f>
        <v>0.14961419240429896</v>
      </c>
      <c r="G24" s="28">
        <f t="shared" si="1"/>
        <v>-42169.13121792319</v>
      </c>
      <c r="H24" s="29">
        <f t="shared" si="2"/>
        <v>10832065.02832205</v>
      </c>
    </row>
    <row r="25" spans="1:8" x14ac:dyDescent="0.2">
      <c r="A25" s="31">
        <v>42229</v>
      </c>
      <c r="B25" s="32">
        <v>361411.258975</v>
      </c>
      <c r="C25" s="32">
        <v>11120346.43</v>
      </c>
      <c r="D25" s="32">
        <v>0.13</v>
      </c>
      <c r="E25" s="32">
        <f t="shared" si="0"/>
        <v>361411.258975</v>
      </c>
      <c r="F25" s="28">
        <f>'Get Rate for Iteration 10 '!$B$4</f>
        <v>0.14961419240429896</v>
      </c>
      <c r="G25" s="28">
        <f t="shared" si="1"/>
        <v>-43746.406345813302</v>
      </c>
      <c r="H25" s="29">
        <f t="shared" si="2"/>
        <v>10875811.434667863</v>
      </c>
    </row>
    <row r="26" spans="1:8" x14ac:dyDescent="0.2">
      <c r="A26" s="31">
        <v>42321</v>
      </c>
      <c r="B26" s="32">
        <v>361411.258975</v>
      </c>
      <c r="C26" s="32">
        <v>11120346.43</v>
      </c>
      <c r="D26" s="32">
        <v>0.13</v>
      </c>
      <c r="E26" s="32">
        <f t="shared" si="0"/>
        <v>361411.258975</v>
      </c>
      <c r="F26" s="28">
        <f>'Get Rate for Iteration 10 '!$B$4</f>
        <v>0.14961419240429896</v>
      </c>
      <c r="G26" s="28">
        <f t="shared" si="1"/>
        <v>-45382.677159818064</v>
      </c>
      <c r="H26" s="29">
        <f t="shared" si="2"/>
        <v>10921194.111827681</v>
      </c>
    </row>
    <row r="27" spans="1:8" x14ac:dyDescent="0.2">
      <c r="A27" s="31">
        <v>42413</v>
      </c>
      <c r="B27" s="32">
        <v>361411.258975</v>
      </c>
      <c r="C27" s="32">
        <v>11120346.43</v>
      </c>
      <c r="D27" s="32">
        <v>0.13</v>
      </c>
      <c r="E27" s="32">
        <f t="shared" si="0"/>
        <v>361411.258975</v>
      </c>
      <c r="F27" s="28">
        <f>'Get Rate for Iteration 10 '!$B$4</f>
        <v>0.14961419240429896</v>
      </c>
      <c r="G27" s="28">
        <f t="shared" si="1"/>
        <v>-47080.150307920878</v>
      </c>
      <c r="H27" s="29">
        <f t="shared" si="2"/>
        <v>10968274.262135603</v>
      </c>
    </row>
    <row r="28" spans="1:8" x14ac:dyDescent="0.2">
      <c r="A28" s="31">
        <v>42503</v>
      </c>
      <c r="B28" s="32">
        <v>361411.258975</v>
      </c>
      <c r="C28" s="32">
        <v>11120346.43</v>
      </c>
      <c r="D28" s="32">
        <v>0.13</v>
      </c>
      <c r="E28" s="32">
        <f t="shared" si="0"/>
        <v>361411.258975</v>
      </c>
      <c r="F28" s="28">
        <f>'Get Rate for Iteration 10 '!$B$4</f>
        <v>0.14961419240429896</v>
      </c>
      <c r="G28" s="28">
        <f t="shared" si="1"/>
        <v>-48841.114974569064</v>
      </c>
      <c r="H28" s="29">
        <f t="shared" si="2"/>
        <v>11017115.377110172</v>
      </c>
    </row>
    <row r="29" spans="1:8" x14ac:dyDescent="0.2">
      <c r="A29" s="31">
        <v>42595</v>
      </c>
      <c r="B29" s="32">
        <v>361411.258975</v>
      </c>
      <c r="C29" s="32">
        <v>11120346.43</v>
      </c>
      <c r="D29" s="32">
        <v>0.13</v>
      </c>
      <c r="E29" s="32">
        <f t="shared" si="0"/>
        <v>361411.258975</v>
      </c>
      <c r="F29" s="28">
        <f>'Get Rate for Iteration 10 '!$B$4</f>
        <v>0.14961419240429896</v>
      </c>
      <c r="G29" s="28">
        <f t="shared" si="1"/>
        <v>-50667.945967830485</v>
      </c>
      <c r="H29" s="29">
        <f t="shared" si="2"/>
        <v>11067783.323078003</v>
      </c>
    </row>
    <row r="30" spans="1:8" x14ac:dyDescent="0.2">
      <c r="A30" s="31">
        <v>42687</v>
      </c>
      <c r="B30" s="32">
        <f>+B29</f>
        <v>361411.258975</v>
      </c>
      <c r="C30" s="32">
        <v>11120346.43</v>
      </c>
      <c r="D30" s="32">
        <v>0.13</v>
      </c>
      <c r="E30" s="32">
        <f t="shared" si="0"/>
        <v>361411.258975</v>
      </c>
      <c r="F30" s="28">
        <f>'Get Rate for Iteration 10 '!$B$4</f>
        <v>0.14961419240429896</v>
      </c>
      <c r="G30" s="28">
        <f t="shared" si="1"/>
        <v>-52563.106922020903</v>
      </c>
      <c r="H30" s="29">
        <f t="shared" si="2"/>
        <v>11120346.430000024</v>
      </c>
    </row>
    <row r="33" spans="2:7" x14ac:dyDescent="0.2">
      <c r="B33" s="13"/>
      <c r="C33" s="13"/>
      <c r="D33" s="13"/>
      <c r="E33" s="13"/>
    </row>
    <row r="34" spans="2:7" x14ac:dyDescent="0.2">
      <c r="B34" s="2"/>
      <c r="C34" s="2"/>
      <c r="D34" s="2"/>
      <c r="E34" s="2"/>
      <c r="F34" t="s">
        <v>33</v>
      </c>
      <c r="G34" s="2">
        <f>H30-C2</f>
        <v>2.4214386940002441E-8</v>
      </c>
    </row>
    <row r="35" spans="2:7" x14ac:dyDescent="0.2">
      <c r="D35" s="27"/>
    </row>
    <row r="36" spans="2:7" x14ac:dyDescent="0.2">
      <c r="D36" s="27"/>
      <c r="F36" t="s">
        <v>34</v>
      </c>
      <c r="G36" s="26">
        <v>0.01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Terms </vt:lpstr>
      <vt:lpstr>XIRR </vt:lpstr>
      <vt:lpstr>Carry Value Proof </vt:lpstr>
      <vt:lpstr>Iteration 1</vt:lpstr>
      <vt:lpstr>Iteration 2</vt:lpstr>
      <vt:lpstr>Iteration 3</vt:lpstr>
      <vt:lpstr>Get Rate for Iteration 4</vt:lpstr>
      <vt:lpstr>Iteration 4 </vt:lpstr>
      <vt:lpstr>Get Rate for Iteration 5</vt:lpstr>
      <vt:lpstr>Iteration 5</vt:lpstr>
      <vt:lpstr>Get Rate for Iteration 6</vt:lpstr>
      <vt:lpstr>Iteration 6</vt:lpstr>
      <vt:lpstr>Get Rate for Iteration 7 </vt:lpstr>
      <vt:lpstr>Iteration 7 </vt:lpstr>
      <vt:lpstr>Get Rate for Iteration 8 </vt:lpstr>
      <vt:lpstr>Iteration 8 </vt:lpstr>
      <vt:lpstr>Get Rate for Iteration 9 </vt:lpstr>
      <vt:lpstr>Iteration 9 </vt:lpstr>
      <vt:lpstr>Get Rate for Iteration 10 </vt:lpstr>
      <vt:lpstr>Iteration 10 </vt:lpstr>
    </vt:vector>
  </TitlesOfParts>
  <Company>JPMorgan Chase &amp; Co.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Netzband</dc:creator>
  <cp:lastModifiedBy>Netzband, Fred</cp:lastModifiedBy>
  <dcterms:created xsi:type="dcterms:W3CDTF">2010-07-23T21:28:55Z</dcterms:created>
  <dcterms:modified xsi:type="dcterms:W3CDTF">2016-08-09T14:01:06Z</dcterms:modified>
</cp:coreProperties>
</file>