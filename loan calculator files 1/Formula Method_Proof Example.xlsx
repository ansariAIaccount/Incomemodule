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4120" windowHeight="12570" activeTab="2"/>
  </bookViews>
  <sheets>
    <sheet name="Terms " sheetId="5" r:id="rId1"/>
    <sheet name="Carry Value Proof " sheetId="4" r:id="rId2"/>
    <sheet name="get Rates" sheetId="3" r:id="rId3"/>
    <sheet name="Formula Metod defined" sheetId="1" r:id="rId4"/>
    <sheet name="using log rates" sheetId="6" r:id="rId5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23" i="3" l="1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F10" i="3" l="1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" i="6"/>
  <c r="P4" i="6" s="1"/>
  <c r="E3" i="6"/>
  <c r="F4" i="6" s="1"/>
  <c r="L1" i="6"/>
  <c r="L1" i="4"/>
  <c r="F4" i="3"/>
  <c r="F15" i="3" s="1"/>
  <c r="AH1" i="3"/>
  <c r="AH5" i="3" s="1"/>
  <c r="AH7" i="3" s="1"/>
  <c r="AG1" i="3"/>
  <c r="AG5" i="3" s="1"/>
  <c r="AG7" i="3" s="1"/>
  <c r="AF1" i="3"/>
  <c r="AF5" i="3" s="1"/>
  <c r="AF7" i="3" s="1"/>
  <c r="AE1" i="3"/>
  <c r="AD1" i="3"/>
  <c r="AD5" i="3" s="1"/>
  <c r="AD7" i="3" s="1"/>
  <c r="AC1" i="3"/>
  <c r="AC5" i="3" s="1"/>
  <c r="AC7" i="3" s="1"/>
  <c r="AB1" i="3"/>
  <c r="AB5" i="3" s="1"/>
  <c r="AB16" i="3" s="1"/>
  <c r="AB17" i="3" s="1"/>
  <c r="AB18" i="3" s="1"/>
  <c r="AA1" i="3"/>
  <c r="Z1" i="3"/>
  <c r="Z5" i="3" s="1"/>
  <c r="Z16" i="3" s="1"/>
  <c r="Z17" i="3" s="1"/>
  <c r="Z18" i="3" s="1"/>
  <c r="Y1" i="3"/>
  <c r="Y5" i="3" s="1"/>
  <c r="Y7" i="3" s="1"/>
  <c r="X1" i="3"/>
  <c r="X5" i="3" s="1"/>
  <c r="X7" i="3" s="1"/>
  <c r="W1" i="3"/>
  <c r="V1" i="3"/>
  <c r="U1" i="3"/>
  <c r="U5" i="3" s="1"/>
  <c r="T1" i="3"/>
  <c r="T5" i="3" s="1"/>
  <c r="T7" i="3" s="1"/>
  <c r="S1" i="3"/>
  <c r="S5" i="3" s="1"/>
  <c r="S7" i="3" s="1"/>
  <c r="R1" i="3"/>
  <c r="Q1" i="3"/>
  <c r="P1" i="3"/>
  <c r="O1" i="3"/>
  <c r="O5" i="3" s="1"/>
  <c r="N1" i="3"/>
  <c r="N5" i="3" s="1"/>
  <c r="N7" i="3" s="1"/>
  <c r="M1" i="3"/>
  <c r="L1" i="3"/>
  <c r="L5" i="3" s="1"/>
  <c r="L7" i="3" s="1"/>
  <c r="K1" i="3"/>
  <c r="J1" i="3"/>
  <c r="J5" i="3" s="1"/>
  <c r="I1" i="3"/>
  <c r="R5" i="3"/>
  <c r="R7" i="3" s="1"/>
  <c r="H1" i="3"/>
  <c r="H5" i="3" s="1"/>
  <c r="G1" i="3"/>
  <c r="F1" i="3"/>
  <c r="B8" i="5"/>
  <c r="B4" i="5"/>
  <c r="E3" i="5"/>
  <c r="E3" i="4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V5" i="3"/>
  <c r="V7" i="3" s="1"/>
  <c r="U20" i="3"/>
  <c r="T20" i="3"/>
  <c r="S20" i="3"/>
  <c r="R20" i="3"/>
  <c r="Q20" i="3"/>
  <c r="P20" i="3"/>
  <c r="P5" i="3"/>
  <c r="P7" i="3" s="1"/>
  <c r="O20" i="3"/>
  <c r="N20" i="3"/>
  <c r="M20" i="3"/>
  <c r="L20" i="3"/>
  <c r="K20" i="3"/>
  <c r="J20" i="3"/>
  <c r="I20" i="3"/>
  <c r="AE5" i="3"/>
  <c r="AE7" i="3" s="1"/>
  <c r="AA5" i="3"/>
  <c r="AA7" i="3" s="1"/>
  <c r="W5" i="3"/>
  <c r="W7" i="3" s="1"/>
  <c r="Q5" i="3"/>
  <c r="Q7" i="3" s="1"/>
  <c r="K5" i="3"/>
  <c r="M5" i="3"/>
  <c r="M7" i="3" s="1"/>
  <c r="I5" i="3"/>
  <c r="I7" i="3" s="1"/>
  <c r="H20" i="3"/>
  <c r="G20" i="3"/>
  <c r="F20" i="3"/>
  <c r="G16" i="3"/>
  <c r="G17" i="3" s="1"/>
  <c r="G18" i="3" s="1"/>
  <c r="F16" i="3"/>
  <c r="F17" i="3" s="1"/>
  <c r="F18" i="3" s="1"/>
  <c r="G7" i="3"/>
  <c r="F7" i="3"/>
  <c r="M4" i="6" l="1"/>
  <c r="D4" i="6"/>
  <c r="F5" i="6" s="1"/>
  <c r="H16" i="3"/>
  <c r="H17" i="3" s="1"/>
  <c r="H18" i="3" s="1"/>
  <c r="H7" i="3"/>
  <c r="K16" i="3"/>
  <c r="K17" i="3" s="1"/>
  <c r="K18" i="3" s="1"/>
  <c r="K7" i="3"/>
  <c r="O16" i="3"/>
  <c r="O17" i="3" s="1"/>
  <c r="O18" i="3" s="1"/>
  <c r="O7" i="3"/>
  <c r="U16" i="3"/>
  <c r="U17" i="3" s="1"/>
  <c r="U18" i="3" s="1"/>
  <c r="U7" i="3"/>
  <c r="J16" i="3"/>
  <c r="J17" i="3" s="1"/>
  <c r="J18" i="3" s="1"/>
  <c r="J7" i="3"/>
  <c r="Z7" i="3"/>
  <c r="AB7" i="3"/>
  <c r="F4" i="4"/>
  <c r="AH16" i="3"/>
  <c r="AH17" i="3" s="1"/>
  <c r="AH18" i="3" s="1"/>
  <c r="AG16" i="3"/>
  <c r="AG17" i="3" s="1"/>
  <c r="AG18" i="3" s="1"/>
  <c r="AF16" i="3"/>
  <c r="AF17" i="3" s="1"/>
  <c r="AF18" i="3" s="1"/>
  <c r="AE16" i="3"/>
  <c r="AE17" i="3" s="1"/>
  <c r="AE18" i="3" s="1"/>
  <c r="AD16" i="3"/>
  <c r="AD17" i="3" s="1"/>
  <c r="AD18" i="3" s="1"/>
  <c r="AC16" i="3"/>
  <c r="AC17" i="3" s="1"/>
  <c r="AC18" i="3" s="1"/>
  <c r="AA16" i="3"/>
  <c r="AA17" i="3" s="1"/>
  <c r="AA18" i="3" s="1"/>
  <c r="Y16" i="3"/>
  <c r="Y17" i="3" s="1"/>
  <c r="Y18" i="3" s="1"/>
  <c r="X16" i="3"/>
  <c r="X17" i="3" s="1"/>
  <c r="X18" i="3" s="1"/>
  <c r="W16" i="3"/>
  <c r="W17" i="3" s="1"/>
  <c r="W18" i="3" s="1"/>
  <c r="V16" i="3"/>
  <c r="V17" i="3" s="1"/>
  <c r="V18" i="3" s="1"/>
  <c r="T16" i="3"/>
  <c r="T17" i="3" s="1"/>
  <c r="T18" i="3" s="1"/>
  <c r="S16" i="3"/>
  <c r="S17" i="3" s="1"/>
  <c r="S18" i="3" s="1"/>
  <c r="R16" i="3"/>
  <c r="R17" i="3" s="1"/>
  <c r="R18" i="3" s="1"/>
  <c r="Q16" i="3"/>
  <c r="Q17" i="3" s="1"/>
  <c r="Q18" i="3" s="1"/>
  <c r="P16" i="3"/>
  <c r="P17" i="3" s="1"/>
  <c r="P18" i="3" s="1"/>
  <c r="N16" i="3"/>
  <c r="N17" i="3" s="1"/>
  <c r="N18" i="3" s="1"/>
  <c r="M16" i="3"/>
  <c r="M17" i="3" s="1"/>
  <c r="M18" i="3" s="1"/>
  <c r="L16" i="3"/>
  <c r="L17" i="3" s="1"/>
  <c r="L18" i="3" s="1"/>
  <c r="I16" i="3"/>
  <c r="I17" i="3" s="1"/>
  <c r="I18" i="3" s="1"/>
  <c r="F19" i="3"/>
  <c r="F21" i="3" s="1"/>
  <c r="N3" i="4" s="1"/>
  <c r="P4" i="4" s="1"/>
  <c r="M4" i="4" s="1"/>
  <c r="H29" i="1"/>
  <c r="H26" i="1"/>
  <c r="D5" i="6" l="1"/>
  <c r="P5" i="6"/>
  <c r="G4" i="3"/>
  <c r="G15" i="3" s="1"/>
  <c r="G19" i="3" s="1"/>
  <c r="G21" i="3" s="1"/>
  <c r="N4" i="4" s="1"/>
  <c r="P5" i="4" s="1"/>
  <c r="D4" i="4"/>
  <c r="J57" i="1"/>
  <c r="H57" i="1"/>
  <c r="F57" i="1"/>
  <c r="J54" i="1"/>
  <c r="J55" i="1" s="1"/>
  <c r="H54" i="1"/>
  <c r="F54" i="1"/>
  <c r="J39" i="1"/>
  <c r="H39" i="1"/>
  <c r="F39" i="1"/>
  <c r="J35" i="1"/>
  <c r="J36" i="1" s="1"/>
  <c r="J37" i="1" s="1"/>
  <c r="H35" i="1"/>
  <c r="H36" i="1" s="1"/>
  <c r="H37" i="1" s="1"/>
  <c r="F35" i="1"/>
  <c r="F36" i="1" s="1"/>
  <c r="F37" i="1" s="1"/>
  <c r="J34" i="1"/>
  <c r="H34" i="1"/>
  <c r="F34" i="1"/>
  <c r="F38" i="1" s="1"/>
  <c r="F40" i="1" s="1"/>
  <c r="J29" i="1"/>
  <c r="J53" i="1" s="1"/>
  <c r="H53" i="1"/>
  <c r="F29" i="1"/>
  <c r="F53" i="1" s="1"/>
  <c r="J26" i="1"/>
  <c r="F26" i="1"/>
  <c r="M5" i="6" l="1"/>
  <c r="F6" i="6"/>
  <c r="D6" i="6" s="1"/>
  <c r="F5" i="4"/>
  <c r="H38" i="1"/>
  <c r="H40" i="1" s="1"/>
  <c r="H55" i="1"/>
  <c r="H56" i="1" s="1"/>
  <c r="H58" i="1" s="1"/>
  <c r="F55" i="1"/>
  <c r="F56" i="1"/>
  <c r="F58" i="1" s="1"/>
  <c r="J38" i="1"/>
  <c r="J40" i="1" s="1"/>
  <c r="J56" i="1"/>
  <c r="J58" i="1" s="1"/>
  <c r="F7" i="6" l="1"/>
  <c r="D7" i="6" s="1"/>
  <c r="P6" i="6"/>
  <c r="M5" i="4"/>
  <c r="D5" i="4"/>
  <c r="H4" i="3" l="1"/>
  <c r="H15" i="3" s="1"/>
  <c r="H19" i="3" s="1"/>
  <c r="H21" i="3" s="1"/>
  <c r="N5" i="4" s="1"/>
  <c r="P6" i="4" s="1"/>
  <c r="M6" i="6"/>
  <c r="F8" i="6"/>
  <c r="D8" i="6" s="1"/>
  <c r="F6" i="4"/>
  <c r="P7" i="6" l="1"/>
  <c r="M7" i="6" s="1"/>
  <c r="F9" i="6"/>
  <c r="D9" i="6" s="1"/>
  <c r="M6" i="4"/>
  <c r="D6" i="4"/>
  <c r="I4" i="3" l="1"/>
  <c r="I15" i="3" s="1"/>
  <c r="I19" i="3" s="1"/>
  <c r="I21" i="3" s="1"/>
  <c r="N6" i="4" s="1"/>
  <c r="P7" i="4" s="1"/>
  <c r="P8" i="6"/>
  <c r="M8" i="6" s="1"/>
  <c r="F10" i="6"/>
  <c r="D10" i="6" s="1"/>
  <c r="F7" i="4"/>
  <c r="D7" i="4" s="1"/>
  <c r="M7" i="4"/>
  <c r="J4" i="3" l="1"/>
  <c r="J15" i="3" s="1"/>
  <c r="J19" i="3" s="1"/>
  <c r="J21" i="3" s="1"/>
  <c r="N7" i="4" s="1"/>
  <c r="P8" i="4" s="1"/>
  <c r="F11" i="6"/>
  <c r="D11" i="6" s="1"/>
  <c r="P9" i="6"/>
  <c r="M9" i="6" s="1"/>
  <c r="M8" i="4"/>
  <c r="F8" i="4"/>
  <c r="D8" i="4" s="1"/>
  <c r="K4" i="3" l="1"/>
  <c r="K15" i="3" s="1"/>
  <c r="K19" i="3" s="1"/>
  <c r="K21" i="3" s="1"/>
  <c r="N8" i="4" s="1"/>
  <c r="P9" i="4" s="1"/>
  <c r="P10" i="6"/>
  <c r="M10" i="6" s="1"/>
  <c r="F12" i="6"/>
  <c r="D12" i="6" s="1"/>
  <c r="F9" i="4"/>
  <c r="D9" i="4" s="1"/>
  <c r="M9" i="4"/>
  <c r="L4" i="3" l="1"/>
  <c r="L15" i="3" s="1"/>
  <c r="L19" i="3" s="1"/>
  <c r="L21" i="3" s="1"/>
  <c r="N9" i="4" s="1"/>
  <c r="P10" i="4" s="1"/>
  <c r="M10" i="4" s="1"/>
  <c r="F13" i="6"/>
  <c r="D13" i="6" s="1"/>
  <c r="P11" i="6"/>
  <c r="M11" i="6" s="1"/>
  <c r="F10" i="4"/>
  <c r="D10" i="4" s="1"/>
  <c r="M4" i="3" l="1"/>
  <c r="M15" i="3" s="1"/>
  <c r="M19" i="3" s="1"/>
  <c r="M21" i="3" s="1"/>
  <c r="N10" i="4" s="1"/>
  <c r="P11" i="4" s="1"/>
  <c r="P12" i="6"/>
  <c r="M12" i="6" s="1"/>
  <c r="F14" i="6"/>
  <c r="D14" i="6" s="1"/>
  <c r="F11" i="4"/>
  <c r="D11" i="4" s="1"/>
  <c r="M11" i="4"/>
  <c r="N4" i="3" l="1"/>
  <c r="N15" i="3" s="1"/>
  <c r="N19" i="3" s="1"/>
  <c r="N21" i="3" s="1"/>
  <c r="N11" i="4" s="1"/>
  <c r="P12" i="4" s="1"/>
  <c r="F15" i="6"/>
  <c r="D15" i="6" s="1"/>
  <c r="P13" i="6"/>
  <c r="M13" i="6" s="1"/>
  <c r="M12" i="4"/>
  <c r="F12" i="4"/>
  <c r="D12" i="4" s="1"/>
  <c r="O4" i="3" l="1"/>
  <c r="O15" i="3" s="1"/>
  <c r="O19" i="3" s="1"/>
  <c r="O21" i="3" s="1"/>
  <c r="N12" i="4" s="1"/>
  <c r="P13" i="4" s="1"/>
  <c r="P14" i="6"/>
  <c r="M14" i="6" s="1"/>
  <c r="F16" i="6"/>
  <c r="D16" i="6" s="1"/>
  <c r="F13" i="4"/>
  <c r="D13" i="4" s="1"/>
  <c r="M13" i="4"/>
  <c r="P4" i="3" l="1"/>
  <c r="P15" i="3" s="1"/>
  <c r="P19" i="3" s="1"/>
  <c r="P21" i="3" s="1"/>
  <c r="N13" i="4" s="1"/>
  <c r="P14" i="4" s="1"/>
  <c r="M14" i="4" s="1"/>
  <c r="F17" i="6"/>
  <c r="D17" i="6" s="1"/>
  <c r="P15" i="6"/>
  <c r="M15" i="6" s="1"/>
  <c r="F14" i="4"/>
  <c r="D14" i="4" s="1"/>
  <c r="Q4" i="3" l="1"/>
  <c r="Q15" i="3" s="1"/>
  <c r="Q19" i="3" s="1"/>
  <c r="Q21" i="3" s="1"/>
  <c r="N14" i="4" s="1"/>
  <c r="P15" i="4" s="1"/>
  <c r="P16" i="6"/>
  <c r="M16" i="6" s="1"/>
  <c r="F18" i="6"/>
  <c r="D18" i="6" s="1"/>
  <c r="F15" i="4"/>
  <c r="D15" i="4" s="1"/>
  <c r="M15" i="4"/>
  <c r="R4" i="3" l="1"/>
  <c r="R15" i="3" s="1"/>
  <c r="R19" i="3" s="1"/>
  <c r="R21" i="3" s="1"/>
  <c r="N15" i="4" s="1"/>
  <c r="P16" i="4" s="1"/>
  <c r="M16" i="4" s="1"/>
  <c r="F19" i="6"/>
  <c r="D19" i="6" s="1"/>
  <c r="P17" i="6"/>
  <c r="M17" i="6" s="1"/>
  <c r="F16" i="4"/>
  <c r="D16" i="4" s="1"/>
  <c r="S4" i="3" l="1"/>
  <c r="S15" i="3" s="1"/>
  <c r="S19" i="3" s="1"/>
  <c r="S21" i="3" s="1"/>
  <c r="N16" i="4" s="1"/>
  <c r="P17" i="4" s="1"/>
  <c r="P18" i="6"/>
  <c r="M18" i="6" s="1"/>
  <c r="F20" i="6"/>
  <c r="D20" i="6" s="1"/>
  <c r="F17" i="4"/>
  <c r="D17" i="4" s="1"/>
  <c r="M17" i="4"/>
  <c r="T4" i="3" l="1"/>
  <c r="T15" i="3" s="1"/>
  <c r="T19" i="3" s="1"/>
  <c r="T21" i="3" s="1"/>
  <c r="N17" i="4" s="1"/>
  <c r="P18" i="4" s="1"/>
  <c r="M18" i="4" s="1"/>
  <c r="P19" i="6"/>
  <c r="M19" i="6" s="1"/>
  <c r="F21" i="6"/>
  <c r="D21" i="6" s="1"/>
  <c r="F18" i="4"/>
  <c r="D18" i="4" s="1"/>
  <c r="U4" i="3" l="1"/>
  <c r="U15" i="3" s="1"/>
  <c r="U19" i="3" s="1"/>
  <c r="U21" i="3" s="1"/>
  <c r="N18" i="4" s="1"/>
  <c r="P19" i="4" s="1"/>
  <c r="F22" i="6"/>
  <c r="D22" i="6" s="1"/>
  <c r="P20" i="6"/>
  <c r="M20" i="6" s="1"/>
  <c r="F19" i="4"/>
  <c r="D19" i="4" s="1"/>
  <c r="M19" i="4"/>
  <c r="V4" i="3" l="1"/>
  <c r="V15" i="3" s="1"/>
  <c r="V19" i="3" s="1"/>
  <c r="V21" i="3" s="1"/>
  <c r="N19" i="4" s="1"/>
  <c r="P20" i="4" s="1"/>
  <c r="P21" i="6"/>
  <c r="M21" i="6" s="1"/>
  <c r="F23" i="6"/>
  <c r="D23" i="6" s="1"/>
  <c r="M20" i="4"/>
  <c r="F20" i="4"/>
  <c r="D20" i="4" s="1"/>
  <c r="W4" i="3" l="1"/>
  <c r="W15" i="3" s="1"/>
  <c r="W19" i="3" s="1"/>
  <c r="W21" i="3" s="1"/>
  <c r="N20" i="4" s="1"/>
  <c r="P21" i="4" s="1"/>
  <c r="F24" i="6"/>
  <c r="D24" i="6" s="1"/>
  <c r="P22" i="6"/>
  <c r="M22" i="6" s="1"/>
  <c r="F21" i="4"/>
  <c r="D21" i="4" s="1"/>
  <c r="M21" i="4"/>
  <c r="X4" i="3" l="1"/>
  <c r="X15" i="3" s="1"/>
  <c r="X19" i="3" s="1"/>
  <c r="X21" i="3" s="1"/>
  <c r="N21" i="4" s="1"/>
  <c r="P22" i="4" s="1"/>
  <c r="M22" i="4" s="1"/>
  <c r="P23" i="6"/>
  <c r="M23" i="6" s="1"/>
  <c r="F25" i="6"/>
  <c r="D25" i="6" s="1"/>
  <c r="F22" i="4"/>
  <c r="D22" i="4" s="1"/>
  <c r="Y4" i="3" l="1"/>
  <c r="Y15" i="3" s="1"/>
  <c r="Y19" i="3" s="1"/>
  <c r="Y21" i="3" s="1"/>
  <c r="N22" i="4" s="1"/>
  <c r="P23" i="4" s="1"/>
  <c r="F26" i="6"/>
  <c r="D26" i="6" s="1"/>
  <c r="P24" i="6"/>
  <c r="M24" i="6" s="1"/>
  <c r="F23" i="4"/>
  <c r="D23" i="4" s="1"/>
  <c r="M23" i="4"/>
  <c r="Z4" i="3" l="1"/>
  <c r="Z15" i="3" s="1"/>
  <c r="Z19" i="3" s="1"/>
  <c r="Z21" i="3" s="1"/>
  <c r="N23" i="4" s="1"/>
  <c r="P24" i="4" s="1"/>
  <c r="M24" i="4" s="1"/>
  <c r="P25" i="6"/>
  <c r="M25" i="6" s="1"/>
  <c r="F27" i="6"/>
  <c r="D27" i="6" s="1"/>
  <c r="F24" i="4"/>
  <c r="D24" i="4" s="1"/>
  <c r="AA4" i="3" l="1"/>
  <c r="AA15" i="3" s="1"/>
  <c r="AA19" i="3" s="1"/>
  <c r="AA21" i="3" s="1"/>
  <c r="N24" i="4" s="1"/>
  <c r="P25" i="4" s="1"/>
  <c r="F28" i="6"/>
  <c r="D28" i="6" s="1"/>
  <c r="P26" i="6"/>
  <c r="M26" i="6" s="1"/>
  <c r="F25" i="4"/>
  <c r="D25" i="4" s="1"/>
  <c r="M25" i="4"/>
  <c r="AB4" i="3" l="1"/>
  <c r="AB15" i="3" s="1"/>
  <c r="AB19" i="3" s="1"/>
  <c r="AB21" i="3" s="1"/>
  <c r="N25" i="4" s="1"/>
  <c r="P26" i="4" s="1"/>
  <c r="P27" i="6"/>
  <c r="M27" i="6" s="1"/>
  <c r="F29" i="6"/>
  <c r="D29" i="6" s="1"/>
  <c r="M26" i="4"/>
  <c r="F26" i="4"/>
  <c r="D26" i="4" s="1"/>
  <c r="AC4" i="3" l="1"/>
  <c r="AC15" i="3" s="1"/>
  <c r="AC19" i="3" s="1"/>
  <c r="AC21" i="3" s="1"/>
  <c r="N26" i="4" s="1"/>
  <c r="P27" i="4" s="1"/>
  <c r="F30" i="6"/>
  <c r="D30" i="6" s="1"/>
  <c r="P28" i="6"/>
  <c r="M28" i="6" s="1"/>
  <c r="F27" i="4"/>
  <c r="D27" i="4" s="1"/>
  <c r="M27" i="4"/>
  <c r="AD4" i="3" l="1"/>
  <c r="AD15" i="3" s="1"/>
  <c r="AD19" i="3" s="1"/>
  <c r="AD21" i="3" s="1"/>
  <c r="N27" i="4" s="1"/>
  <c r="P28" i="4" s="1"/>
  <c r="P29" i="6"/>
  <c r="M29" i="6" s="1"/>
  <c r="F31" i="6"/>
  <c r="F32" i="6" s="1"/>
  <c r="M28" i="4"/>
  <c r="F28" i="4"/>
  <c r="D28" i="4" s="1"/>
  <c r="AE4" i="3" l="1"/>
  <c r="AE15" i="3" s="1"/>
  <c r="AE19" i="3" s="1"/>
  <c r="AE21" i="3" s="1"/>
  <c r="N28" i="4" s="1"/>
  <c r="P29" i="4" s="1"/>
  <c r="P30" i="6"/>
  <c r="M30" i="6" s="1"/>
  <c r="D31" i="6"/>
  <c r="F29" i="4"/>
  <c r="D29" i="4" s="1"/>
  <c r="M29" i="4"/>
  <c r="AF4" i="3" l="1"/>
  <c r="AF15" i="3" s="1"/>
  <c r="AF19" i="3" s="1"/>
  <c r="AF21" i="3" s="1"/>
  <c r="N29" i="4" s="1"/>
  <c r="P30" i="4" s="1"/>
  <c r="P31" i="6"/>
  <c r="M30" i="4"/>
  <c r="F30" i="4"/>
  <c r="D30" i="4" s="1"/>
  <c r="AG4" i="3" l="1"/>
  <c r="AG15" i="3" s="1"/>
  <c r="AG19" i="3" s="1"/>
  <c r="AG21" i="3" s="1"/>
  <c r="N30" i="4" s="1"/>
  <c r="P31" i="4" s="1"/>
  <c r="P33" i="4" s="1"/>
  <c r="P35" i="4" s="1"/>
  <c r="P33" i="6"/>
  <c r="P36" i="6" s="1"/>
  <c r="M31" i="6"/>
  <c r="F31" i="4"/>
  <c r="F32" i="4" s="1"/>
  <c r="M31" i="4" l="1"/>
  <c r="AH4" i="3" s="1"/>
  <c r="AH15" i="3" s="1"/>
  <c r="AH19" i="3" s="1"/>
  <c r="AH21" i="3" s="1"/>
  <c r="D31" i="4"/>
</calcChain>
</file>

<file path=xl/comments1.xml><?xml version="1.0" encoding="utf-8"?>
<comments xmlns="http://schemas.openxmlformats.org/spreadsheetml/2006/main">
  <authors>
    <author>Fred Netzband</author>
  </authors>
  <commentList>
    <comment ref="E1" authorId="0">
      <text>
        <r>
          <rPr>
            <b/>
            <sz val="8"/>
            <color indexed="81"/>
            <rFont val="Tahoma"/>
            <family val="2"/>
          </rPr>
          <t>Fred Netzband:</t>
        </r>
        <r>
          <rPr>
            <sz val="8"/>
            <color indexed="81"/>
            <rFont val="Tahoma"/>
            <family val="2"/>
          </rPr>
          <t xml:space="preserve">
Rate from AT
IRR Function 
</t>
        </r>
      </text>
    </comment>
  </commentList>
</comments>
</file>

<file path=xl/comments2.xml><?xml version="1.0" encoding="utf-8"?>
<comments xmlns="http://schemas.openxmlformats.org/spreadsheetml/2006/main">
  <authors>
    <author>Fred Netzband</author>
  </authors>
  <commentList>
    <comment ref="E1" authorId="0">
      <text>
        <r>
          <rPr>
            <b/>
            <sz val="8"/>
            <color indexed="81"/>
            <rFont val="Tahoma"/>
            <family val="2"/>
          </rPr>
          <t>Fred Netzband:</t>
        </r>
        <r>
          <rPr>
            <sz val="8"/>
            <color indexed="81"/>
            <rFont val="Tahoma"/>
            <family val="2"/>
          </rPr>
          <t xml:space="preserve">
Rate from AT
IRR Function 
</t>
        </r>
      </text>
    </comment>
  </commentList>
</comments>
</file>

<file path=xl/sharedStrings.xml><?xml version="1.0" encoding="utf-8"?>
<sst xmlns="http://schemas.openxmlformats.org/spreadsheetml/2006/main" count="162" uniqueCount="94">
  <si>
    <t>Formulas to calculation Effective Interest Metadate:</t>
  </si>
  <si>
    <t>Effective Yield (DR)</t>
  </si>
  <si>
    <t>The option for each of these should be on the Income Security panel.</t>
  </si>
  <si>
    <t>There is a field existing called:</t>
  </si>
  <si>
    <t>Effective Interest Calculation Methodology</t>
  </si>
  <si>
    <t>This field has two drop down - PRICE and IRR</t>
  </si>
  <si>
    <t>The drop down should be extended/amended as follows:</t>
  </si>
  <si>
    <t>Method 1 (custom formula) - add as new option</t>
  </si>
  <si>
    <t>Method 2 (PRICE) - retain</t>
  </si>
  <si>
    <t>Method 3 (generic formula) - add a new option</t>
  </si>
  <si>
    <t>IRR - remove</t>
  </si>
  <si>
    <t>The mathematics to calculate the Effective Yield (DR) metadata should be determined on the selection in this field.</t>
  </si>
  <si>
    <t>If Method 1 is selected, than the formula indicated in method 1 should be used</t>
  </si>
  <si>
    <t>If Method 2 is selected, than the formula indicated in method 1 should be used</t>
  </si>
  <si>
    <t>If Method 3 is selected, than the formula indicated in method 1 should be used</t>
  </si>
  <si>
    <t>If there is a client provided figure in the existing field within the Income Security Panel, than that field should be used as the effective yield, without a need for any calculation</t>
  </si>
  <si>
    <t>Parameters:</t>
  </si>
  <si>
    <t>Principal</t>
  </si>
  <si>
    <t>P</t>
  </si>
  <si>
    <t>The outstanding principal balance of the coupon yielding instrument</t>
  </si>
  <si>
    <t>Carrying Value</t>
  </si>
  <si>
    <t>CV</t>
  </si>
  <si>
    <t>The carrying value of the coupon yielding instrument</t>
  </si>
  <si>
    <t>Settlement date</t>
  </si>
  <si>
    <r>
      <t>D</t>
    </r>
    <r>
      <rPr>
        <b/>
        <vertAlign val="subscript"/>
        <sz val="9"/>
        <color theme="1"/>
        <rFont val="Calibri"/>
        <family val="2"/>
        <scheme val="minor"/>
      </rPr>
      <t>1</t>
    </r>
  </si>
  <si>
    <t>Date the instrument is closed and starts yielding interest</t>
  </si>
  <si>
    <t>Maturity date</t>
  </si>
  <si>
    <r>
      <t>D</t>
    </r>
    <r>
      <rPr>
        <b/>
        <vertAlign val="subscript"/>
        <sz val="9"/>
        <color theme="1"/>
        <rFont val="Calibri"/>
        <family val="2"/>
        <scheme val="minor"/>
      </rPr>
      <t>2</t>
    </r>
  </si>
  <si>
    <t>Date the instrument matures and is due for repayment</t>
  </si>
  <si>
    <t>Years to maturity</t>
  </si>
  <si>
    <t>m</t>
  </si>
  <si>
    <t>Coupon rate</t>
  </si>
  <si>
    <r>
      <t>I</t>
    </r>
    <r>
      <rPr>
        <b/>
        <vertAlign val="subscript"/>
        <sz val="9"/>
        <color theme="1"/>
        <rFont val="Calibri"/>
        <family val="2"/>
        <scheme val="minor"/>
      </rPr>
      <t>1</t>
    </r>
  </si>
  <si>
    <t>Interest rate / coupon of the instrument</t>
  </si>
  <si>
    <t>PIK rate</t>
  </si>
  <si>
    <r>
      <t>I</t>
    </r>
    <r>
      <rPr>
        <b/>
        <vertAlign val="subscript"/>
        <sz val="9"/>
        <color theme="1"/>
        <rFont val="Calibri"/>
        <family val="2"/>
        <scheme val="minor"/>
      </rPr>
      <t>2</t>
    </r>
  </si>
  <si>
    <t>Additional interest rate in kind of the instrument</t>
  </si>
  <si>
    <t>Interest Payment</t>
  </si>
  <si>
    <t>PMT</t>
  </si>
  <si>
    <t>Method 1 - custom formula (from Main Street Capital)</t>
  </si>
  <si>
    <t>Already exists as metadata, to be added as optional field with subsequent logic</t>
  </si>
  <si>
    <t>P / CV</t>
  </si>
  <si>
    <t>= A</t>
  </si>
  <si>
    <r>
      <t>(D</t>
    </r>
    <r>
      <rPr>
        <vertAlign val="sub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– D</t>
    </r>
    <r>
      <rPr>
        <vertAlign val="sub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)</t>
    </r>
  </si>
  <si>
    <r>
      <t>(D</t>
    </r>
    <r>
      <rPr>
        <vertAlign val="sub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– D</t>
    </r>
    <r>
      <rPr>
        <vertAlign val="sub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) / 365</t>
    </r>
  </si>
  <si>
    <r>
      <t>1/[(D</t>
    </r>
    <r>
      <rPr>
        <vertAlign val="sub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– D</t>
    </r>
    <r>
      <rPr>
        <vertAlign val="sub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) / 365]</t>
    </r>
  </si>
  <si>
    <t>= B</t>
  </si>
  <si>
    <r>
      <t>A</t>
    </r>
    <r>
      <rPr>
        <vertAlign val="superscript"/>
        <sz val="9"/>
        <color theme="1"/>
        <rFont val="Calibri"/>
        <family val="2"/>
        <scheme val="minor"/>
      </rPr>
      <t>B</t>
    </r>
  </si>
  <si>
    <t>= C</t>
  </si>
  <si>
    <r>
      <t>I</t>
    </r>
    <r>
      <rPr>
        <vertAlign val="sub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+ I</t>
    </r>
    <r>
      <rPr>
        <vertAlign val="subscript"/>
        <sz val="9"/>
        <color theme="1"/>
        <rFont val="Calibri"/>
        <family val="2"/>
        <scheme val="minor"/>
      </rPr>
      <t>2</t>
    </r>
  </si>
  <si>
    <t>= D</t>
  </si>
  <si>
    <t>Effective Interest</t>
  </si>
  <si>
    <t>= C - 1 + D</t>
  </si>
  <si>
    <t>Method 2 - as in original AT - the PRICE Methodology</t>
  </si>
  <si>
    <t>Highest priority is terms of calculations methods</t>
  </si>
  <si>
    <t>Iterations to find the appropriate rate, as per attached file.  This exists for the AT, needs to be used in BE</t>
  </si>
  <si>
    <t>Need to add logic to make this method used (if selected) as calculation for effective yield metadata</t>
  </si>
  <si>
    <t>Method 3</t>
  </si>
  <si>
    <t>Next highest priority</t>
  </si>
  <si>
    <t>P - CV</t>
  </si>
  <si>
    <t>(P - CV)/m</t>
  </si>
  <si>
    <t>PMT + A</t>
  </si>
  <si>
    <t>(CV + P)/2</t>
  </si>
  <si>
    <t>= B/C</t>
  </si>
  <si>
    <t>Method 4 - client override</t>
  </si>
  <si>
    <t>This field exists in the Income Security Screen</t>
  </si>
  <si>
    <t>Logic within business event is to use this field to calculate the metadata if is populated, overriding the other methods</t>
  </si>
  <si>
    <t>Metadata name:</t>
  </si>
  <si>
    <t xml:space="preserve">Day Basis = 30/360 </t>
  </si>
  <si>
    <t xml:space="preserve">Date </t>
  </si>
  <si>
    <t xml:space="preserve">Cash Flow </t>
  </si>
  <si>
    <t xml:space="preserve">Face Value </t>
  </si>
  <si>
    <t xml:space="preserve">Carry Value </t>
  </si>
  <si>
    <t xml:space="preserve">Effective Interest Rate </t>
  </si>
  <si>
    <t xml:space="preserve">Disc Amortization </t>
  </si>
  <si>
    <t>Discount Fully Amortized</t>
  </si>
  <si>
    <t>Settlement</t>
  </si>
  <si>
    <t xml:space="preserve">Cost </t>
  </si>
  <si>
    <t xml:space="preserve">Maturity </t>
  </si>
  <si>
    <t>Rate</t>
  </si>
  <si>
    <t>Discount</t>
  </si>
  <si>
    <t>Price</t>
  </si>
  <si>
    <t xml:space="preserve"> </t>
  </si>
  <si>
    <t>Redemption</t>
  </si>
  <si>
    <t xml:space="preserve">Coupon Frequency </t>
  </si>
  <si>
    <t>Day Basis</t>
  </si>
  <si>
    <t xml:space="preserve">Yield </t>
  </si>
  <si>
    <t>Sample 1</t>
  </si>
  <si>
    <t>Sample 1 cont</t>
  </si>
  <si>
    <t>Test Data Random</t>
  </si>
  <si>
    <t>From Log File</t>
  </si>
  <si>
    <t>Plug this # to P31</t>
  </si>
  <si>
    <t>From Log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</si>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</sst>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00000%"/>
    <numFmt numFmtId="167" formatCode="0.00000%"/>
    <numFmt numFmtId="172" formatCode="_(* #,##0.00000000_);_(* \(#,##0.000000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bscript"/>
      <sz val="9"/>
      <color theme="1"/>
      <name val="Calibri"/>
      <family val="2"/>
      <scheme val="minor"/>
    </font>
    <font>
      <vertAlign val="subscript"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theme="1"/>
      <name val="Arial"/>
      <family val="2"/>
    </font>
    <font>
      <sz val="10"/>
      <name val="Arial"/>
      <family val="2"/>
    </font>
    <font>
      <sz val="9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43" fontId="7" fillId="0" borderId="0" applyFont="0" applyFill="0" applyBorder="0" applyAlignment="0" applyProtection="0"/>
    <xf numFmtId="0" fontId="7" fillId="0" borderId="0"/>
    <xf numFmtId="0" fontId="12" fillId="0" borderId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64" fontId="3" fillId="0" borderId="0" xfId="1" applyNumberFormat="1" applyFont="1"/>
    <xf numFmtId="14" fontId="3" fillId="0" borderId="0" xfId="1" applyNumberFormat="1" applyFont="1"/>
    <xf numFmtId="43" fontId="3" fillId="0" borderId="0" xfId="1" applyFont="1"/>
    <xf numFmtId="43" fontId="3" fillId="0" borderId="0" xfId="1" applyNumberFormat="1" applyFont="1"/>
    <xf numFmtId="10" fontId="3" fillId="0" borderId="0" xfId="2" applyNumberFormat="1" applyFont="1"/>
    <xf numFmtId="0" fontId="2" fillId="2" borderId="0" xfId="0" applyFont="1" applyFill="1"/>
    <xf numFmtId="0" fontId="3" fillId="2" borderId="0" xfId="0" applyFont="1" applyFill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165" fontId="3" fillId="0" borderId="0" xfId="1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65" fontId="3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3" fillId="0" borderId="0" xfId="0" quotePrefix="1" applyFont="1" applyAlignment="1">
      <alignment horizontal="left" vertical="center"/>
    </xf>
    <xf numFmtId="10" fontId="3" fillId="3" borderId="0" xfId="2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164" fontId="3" fillId="0" borderId="0" xfId="0" applyNumberFormat="1" applyFont="1" applyAlignment="1">
      <alignment vertical="center"/>
    </xf>
    <xf numFmtId="164" fontId="3" fillId="0" borderId="0" xfId="0" applyNumberFormat="1" applyFont="1"/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0" applyFont="1" applyAlignment="1">
      <alignment horizontal="center"/>
    </xf>
    <xf numFmtId="0" fontId="2" fillId="4" borderId="0" xfId="0" applyFont="1" applyFill="1"/>
    <xf numFmtId="0" fontId="3" fillId="4" borderId="0" xfId="0" applyFont="1" applyFill="1"/>
    <xf numFmtId="43" fontId="7" fillId="0" borderId="0" xfId="1" applyFont="1"/>
    <xf numFmtId="43" fontId="0" fillId="0" borderId="0" xfId="1" applyFont="1"/>
    <xf numFmtId="14" fontId="2" fillId="0" borderId="0" xfId="0" applyNumberFormat="1" applyFont="1" applyAlignment="1">
      <alignment horizontal="center"/>
    </xf>
    <xf numFmtId="0" fontId="8" fillId="0" borderId="0" xfId="3" applyFont="1"/>
    <xf numFmtId="0" fontId="11" fillId="0" borderId="0" xfId="3"/>
    <xf numFmtId="0" fontId="11" fillId="5" borderId="1" xfId="3" applyFill="1" applyBorder="1"/>
    <xf numFmtId="0" fontId="11" fillId="5" borderId="0" xfId="3" applyFill="1" applyBorder="1"/>
    <xf numFmtId="14" fontId="11" fillId="0" borderId="0" xfId="3" applyNumberFormat="1"/>
    <xf numFmtId="43" fontId="0" fillId="0" borderId="0" xfId="4" applyFont="1"/>
    <xf numFmtId="43" fontId="11" fillId="0" borderId="0" xfId="3" applyNumberFormat="1"/>
    <xf numFmtId="43" fontId="0" fillId="0" borderId="0" xfId="4" applyFont="1" applyFill="1"/>
    <xf numFmtId="43" fontId="0" fillId="7" borderId="0" xfId="4" applyFont="1" applyFill="1"/>
    <xf numFmtId="43" fontId="0" fillId="5" borderId="0" xfId="4" applyFont="1" applyFill="1"/>
    <xf numFmtId="43" fontId="0" fillId="6" borderId="0" xfId="4" applyFont="1" applyFill="1"/>
    <xf numFmtId="0" fontId="11" fillId="0" borderId="0" xfId="3" applyFill="1"/>
    <xf numFmtId="0" fontId="12" fillId="0" borderId="2" xfId="6" applyBorder="1"/>
    <xf numFmtId="14" fontId="12" fillId="0" borderId="2" xfId="6" applyNumberFormat="1" applyBorder="1"/>
    <xf numFmtId="0" fontId="7" fillId="0" borderId="0" xfId="5"/>
    <xf numFmtId="43" fontId="7" fillId="0" borderId="0" xfId="4" applyFont="1"/>
    <xf numFmtId="0" fontId="12" fillId="0" borderId="1" xfId="6" applyBorder="1"/>
    <xf numFmtId="14" fontId="12" fillId="0" borderId="1" xfId="6" applyNumberFormat="1" applyBorder="1"/>
    <xf numFmtId="10" fontId="12" fillId="0" borderId="1" xfId="6" applyNumberFormat="1" applyBorder="1"/>
    <xf numFmtId="0" fontId="7" fillId="0" borderId="0" xfId="5" applyFont="1"/>
    <xf numFmtId="43" fontId="7" fillId="0" borderId="0" xfId="5" applyNumberFormat="1"/>
    <xf numFmtId="43" fontId="7" fillId="0" borderId="1" xfId="4" applyFont="1" applyBorder="1"/>
    <xf numFmtId="0" fontId="12" fillId="5" borderId="1" xfId="6" applyFill="1" applyBorder="1"/>
    <xf numFmtId="166" fontId="12" fillId="5" borderId="1" xfId="8" applyNumberFormat="1" applyFont="1" applyFill="1" applyBorder="1"/>
    <xf numFmtId="10" fontId="11" fillId="0" borderId="0" xfId="3" applyNumberFormat="1"/>
    <xf numFmtId="10" fontId="3" fillId="3" borderId="0" xfId="2" applyNumberFormat="1" applyFont="1" applyFill="1"/>
    <xf numFmtId="43" fontId="13" fillId="0" borderId="0" xfId="1" applyFont="1"/>
    <xf numFmtId="167" fontId="3" fillId="3" borderId="0" xfId="2" applyNumberFormat="1" applyFont="1" applyFill="1" applyAlignment="1">
      <alignment vertical="center"/>
    </xf>
    <xf numFmtId="0" fontId="11" fillId="0" borderId="0" xfId="3" applyFill="1" applyBorder="1"/>
    <xf numFmtId="172" fontId="0" fillId="0" borderId="0" xfId="1" applyNumberFormat="1" applyFont="1"/>
    <xf numFmtId="167" fontId="0" fillId="0" borderId="0" xfId="2" applyNumberFormat="1" applyFont="1"/>
  </cellXfs>
  <cellStyles count="9">
    <cellStyle name="Comma" xfId="1" builtinId="3"/>
    <cellStyle name="Comma 2" xfId="4"/>
    <cellStyle name="Normal" xfId="0" builtinId="0"/>
    <cellStyle name="Normal 2" xfId="3"/>
    <cellStyle name="Normal_YIELD " xfId="5"/>
    <cellStyle name="Normal_YIELD _1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32</xdr:row>
      <xdr:rowOff>171450</xdr:rowOff>
    </xdr:from>
    <xdr:to>
      <xdr:col>18</xdr:col>
      <xdr:colOff>228600</xdr:colOff>
      <xdr:row>39</xdr:row>
      <xdr:rowOff>146060</xdr:rowOff>
    </xdr:to>
    <xdr:grpSp>
      <xdr:nvGrpSpPr>
        <xdr:cNvPr id="2" name="Group 1"/>
        <xdr:cNvGrpSpPr>
          <a:grpSpLocks noChangeAspect="1"/>
        </xdr:cNvGrpSpPr>
      </xdr:nvGrpSpPr>
      <xdr:grpSpPr>
        <a:xfrm>
          <a:off x="8924925" y="5153025"/>
          <a:ext cx="3886200" cy="1165235"/>
          <a:chOff x="1569720" y="440025"/>
          <a:chExt cx="3886200" cy="1308110"/>
        </a:xfrm>
      </xdr:grpSpPr>
      <xdr:sp macro="" textlink="">
        <xdr:nvSpPr>
          <xdr:cNvPr id="3" name="TextBox 4"/>
          <xdr:cNvSpPr txBox="1"/>
        </xdr:nvSpPr>
        <xdr:spPr>
          <a:xfrm>
            <a:off x="1752600" y="909935"/>
            <a:ext cx="365760" cy="46166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400"/>
              <a:t>P</a:t>
            </a:r>
          </a:p>
        </xdr:txBody>
      </xdr:sp>
      <xdr:sp macro="" textlink="">
        <xdr:nvSpPr>
          <xdr:cNvPr id="4" name="TextBox 5"/>
          <xdr:cNvSpPr txBox="1"/>
        </xdr:nvSpPr>
        <xdr:spPr>
          <a:xfrm>
            <a:off x="1661160" y="1290935"/>
            <a:ext cx="548640" cy="45720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400"/>
              <a:t>CV</a:t>
            </a:r>
          </a:p>
        </xdr:txBody>
      </xdr:sp>
      <xdr:cxnSp macro="">
        <xdr:nvCxnSpPr>
          <xdr:cNvPr id="5" name="Straight Connector 4"/>
          <xdr:cNvCxnSpPr/>
        </xdr:nvCxnSpPr>
        <xdr:spPr>
          <a:xfrm>
            <a:off x="1661160" y="1310045"/>
            <a:ext cx="548640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Double Bracket 5"/>
          <xdr:cNvSpPr/>
        </xdr:nvSpPr>
        <xdr:spPr>
          <a:xfrm>
            <a:off x="1569720" y="909935"/>
            <a:ext cx="731520" cy="822960"/>
          </a:xfrm>
          <a:prstGeom prst="bracketPair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7" name="TextBox 6"/>
          <xdr:cNvSpPr txBox="1"/>
        </xdr:nvSpPr>
        <xdr:spPr>
          <a:xfrm>
            <a:off x="2407920" y="714345"/>
            <a:ext cx="1097280" cy="27432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/>
              <a:t>(D</a:t>
            </a:r>
            <a:r>
              <a:rPr lang="en-US" sz="1200" baseline="-25000"/>
              <a:t>1</a:t>
            </a:r>
            <a:r>
              <a:rPr lang="en-US" sz="1200"/>
              <a:t> – D</a:t>
            </a:r>
            <a:r>
              <a:rPr lang="en-US" sz="1200" baseline="-25000"/>
              <a:t>2</a:t>
            </a:r>
            <a:r>
              <a:rPr lang="en-US" sz="1200"/>
              <a:t>) / 365</a:t>
            </a:r>
            <a:endParaRPr lang="en-US" sz="1200" baseline="-25000"/>
          </a:p>
        </xdr:txBody>
      </xdr:sp>
      <xdr:sp macro="" textlink="">
        <xdr:nvSpPr>
          <xdr:cNvPr id="8" name="TextBox 7"/>
          <xdr:cNvSpPr txBox="1"/>
        </xdr:nvSpPr>
        <xdr:spPr>
          <a:xfrm>
            <a:off x="2682240" y="440025"/>
            <a:ext cx="548640" cy="27432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/>
              <a:t>1</a:t>
            </a:r>
          </a:p>
        </xdr:txBody>
      </xdr:sp>
      <xdr:cxnSp macro="">
        <xdr:nvCxnSpPr>
          <xdr:cNvPr id="9" name="Straight Connector 8"/>
          <xdr:cNvCxnSpPr/>
        </xdr:nvCxnSpPr>
        <xdr:spPr>
          <a:xfrm>
            <a:off x="2423160" y="725775"/>
            <a:ext cx="1097280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Double Bracket 9"/>
          <xdr:cNvSpPr/>
        </xdr:nvSpPr>
        <xdr:spPr>
          <a:xfrm>
            <a:off x="2346960" y="470505"/>
            <a:ext cx="1234440" cy="548640"/>
          </a:xfrm>
          <a:prstGeom prst="bracketPair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cxnSp macro="">
        <xdr:nvCxnSpPr>
          <xdr:cNvPr id="11" name="Straight Connector 10"/>
          <xdr:cNvCxnSpPr/>
        </xdr:nvCxnSpPr>
        <xdr:spPr>
          <a:xfrm>
            <a:off x="2819400" y="1371600"/>
            <a:ext cx="457200" cy="0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TextBox 17"/>
          <xdr:cNvSpPr txBox="1"/>
        </xdr:nvSpPr>
        <xdr:spPr>
          <a:xfrm>
            <a:off x="3352800" y="1127104"/>
            <a:ext cx="2103120" cy="45720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400"/>
              <a:t>1+(I</a:t>
            </a:r>
            <a:r>
              <a:rPr lang="en-US" sz="2400" baseline="-25000"/>
              <a:t>1</a:t>
            </a:r>
            <a:r>
              <a:rPr lang="en-US" sz="2400"/>
              <a:t> + I</a:t>
            </a:r>
            <a:r>
              <a:rPr lang="en-US" sz="2400" baseline="-25000"/>
              <a:t>2</a:t>
            </a:r>
            <a:r>
              <a:rPr lang="en-US" sz="2400"/>
              <a:t>)</a:t>
            </a:r>
            <a:endParaRPr lang="en-US" sz="2400" baseline="-25000"/>
          </a:p>
        </xdr:txBody>
      </xdr:sp>
    </xdr:grpSp>
    <xdr:clientData/>
  </xdr:twoCellAnchor>
  <xdr:twoCellAnchor editAs="oneCell">
    <xdr:from>
      <xdr:col>12</xdr:col>
      <xdr:colOff>28575</xdr:colOff>
      <xdr:row>51</xdr:row>
      <xdr:rowOff>76199</xdr:rowOff>
    </xdr:from>
    <xdr:to>
      <xdr:col>16</xdr:col>
      <xdr:colOff>4461</xdr:colOff>
      <xdr:row>62</xdr:row>
      <xdr:rowOff>40260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8029574"/>
          <a:ext cx="2414286" cy="16404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D4" sqref="D4"/>
    </sheetView>
  </sheetViews>
  <sheetFormatPr defaultRowHeight="12.75" x14ac:dyDescent="0.2"/>
  <cols>
    <col min="1" max="1" width="17.42578125" style="34" bestFit="1" customWidth="1"/>
    <col min="2" max="2" width="11.28515625" style="34" bestFit="1" customWidth="1"/>
    <col min="3" max="3" width="2.7109375" style="34" bestFit="1" customWidth="1"/>
    <col min="4" max="4" width="11" style="34" bestFit="1" customWidth="1"/>
    <col min="5" max="6" width="14" style="34" bestFit="1" customWidth="1"/>
    <col min="7" max="16384" width="9.140625" style="34"/>
  </cols>
  <sheetData>
    <row r="1" spans="1:5" x14ac:dyDescent="0.2">
      <c r="A1" s="45" t="s">
        <v>76</v>
      </c>
      <c r="B1" s="46">
        <v>40130</v>
      </c>
      <c r="C1" s="47"/>
      <c r="D1" s="47" t="s">
        <v>77</v>
      </c>
      <c r="E1" s="48">
        <v>10183896.199999999</v>
      </c>
    </row>
    <row r="2" spans="1:5" x14ac:dyDescent="0.2">
      <c r="A2" s="49" t="s">
        <v>78</v>
      </c>
      <c r="B2" s="50">
        <v>42687</v>
      </c>
      <c r="C2" s="47"/>
      <c r="D2" s="47" t="s">
        <v>71</v>
      </c>
      <c r="E2" s="48">
        <v>11120346.43</v>
      </c>
    </row>
    <row r="3" spans="1:5" x14ac:dyDescent="0.2">
      <c r="A3" s="49" t="s">
        <v>79</v>
      </c>
      <c r="B3" s="51">
        <v>0.13</v>
      </c>
      <c r="C3" s="47"/>
      <c r="D3" s="52" t="s">
        <v>80</v>
      </c>
      <c r="E3" s="53">
        <f>E2-E1</f>
        <v>936450.23000000045</v>
      </c>
    </row>
    <row r="4" spans="1:5" x14ac:dyDescent="0.2">
      <c r="A4" s="49" t="s">
        <v>81</v>
      </c>
      <c r="B4" s="54">
        <f>+E1/E2*100</f>
        <v>91.578947329611211</v>
      </c>
      <c r="C4" s="48" t="s">
        <v>82</v>
      </c>
      <c r="D4" s="47"/>
      <c r="E4" s="47"/>
    </row>
    <row r="5" spans="1:5" x14ac:dyDescent="0.2">
      <c r="A5" s="49" t="s">
        <v>83</v>
      </c>
      <c r="B5" s="49">
        <v>100</v>
      </c>
      <c r="C5" s="47"/>
      <c r="D5" s="47"/>
      <c r="E5" s="47"/>
    </row>
    <row r="6" spans="1:5" x14ac:dyDescent="0.2">
      <c r="A6" s="49" t="s">
        <v>84</v>
      </c>
      <c r="B6" s="49">
        <v>4</v>
      </c>
      <c r="C6" s="47"/>
      <c r="D6" s="47"/>
      <c r="E6" s="47"/>
    </row>
    <row r="7" spans="1:5" x14ac:dyDescent="0.2">
      <c r="A7" s="49" t="s">
        <v>85</v>
      </c>
      <c r="B7" s="49">
        <v>0</v>
      </c>
      <c r="C7" s="47"/>
      <c r="D7" s="47"/>
      <c r="E7" s="47"/>
    </row>
    <row r="8" spans="1:5" x14ac:dyDescent="0.2">
      <c r="A8" s="55" t="s">
        <v>86</v>
      </c>
      <c r="B8" s="56">
        <f>YIELD(B1,B2,B3,B4,B5,B6,B7)</f>
        <v>0.1496141923890319</v>
      </c>
      <c r="C8" s="47"/>
      <c r="D8" s="47"/>
      <c r="E8" s="47"/>
    </row>
    <row r="30" spans="6:6" x14ac:dyDescent="0.2">
      <c r="F30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5"/>
  <sheetViews>
    <sheetView topLeftCell="I1" workbookViewId="0">
      <selection activeCell="Q36" sqref="Q36"/>
    </sheetView>
  </sheetViews>
  <sheetFormatPr defaultRowHeight="12.75" x14ac:dyDescent="0.2"/>
  <cols>
    <col min="1" max="1" width="10.140625" style="34" hidden="1" customWidth="1"/>
    <col min="2" max="3" width="14.5703125" style="34" hidden="1" customWidth="1"/>
    <col min="4" max="4" width="14" style="34" hidden="1" customWidth="1"/>
    <col min="5" max="5" width="19.85546875" style="34" hidden="1" customWidth="1"/>
    <col min="6" max="6" width="15.28515625" style="34" hidden="1" customWidth="1"/>
    <col min="7" max="7" width="12.85546875" style="34" hidden="1" customWidth="1"/>
    <col min="8" max="8" width="0" style="34" hidden="1" customWidth="1"/>
    <col min="9" max="9" width="9.140625" style="34"/>
    <col min="10" max="10" width="10.140625" style="34" bestFit="1" customWidth="1"/>
    <col min="11" max="11" width="14.5703125" style="34" bestFit="1" customWidth="1"/>
    <col min="12" max="12" width="14.5703125" style="34" customWidth="1"/>
    <col min="13" max="13" width="14.28515625" style="34" bestFit="1" customWidth="1"/>
    <col min="14" max="14" width="19.85546875" style="34" bestFit="1" customWidth="1"/>
    <col min="15" max="15" width="19.85546875" style="34" customWidth="1"/>
    <col min="16" max="16" width="15.28515625" style="34" customWidth="1"/>
    <col min="17" max="17" width="9.140625" style="34"/>
    <col min="18" max="18" width="10.28515625" style="34" bestFit="1" customWidth="1"/>
    <col min="19" max="19" width="9.140625" style="34"/>
    <col min="20" max="20" width="14.28515625" style="34" bestFit="1" customWidth="1"/>
    <col min="21" max="16384" width="9.140625" style="34"/>
  </cols>
  <sheetData>
    <row r="1" spans="1:20" x14ac:dyDescent="0.2">
      <c r="A1" s="33" t="s">
        <v>68</v>
      </c>
      <c r="E1" s="34">
        <v>0.15821961619647662</v>
      </c>
      <c r="J1" s="33" t="s">
        <v>68</v>
      </c>
      <c r="L1" s="39">
        <f>+L3+K3</f>
        <v>936450.23000000231</v>
      </c>
    </row>
    <row r="2" spans="1:20" x14ac:dyDescent="0.2">
      <c r="A2" s="35" t="s">
        <v>69</v>
      </c>
      <c r="B2" s="35" t="s">
        <v>70</v>
      </c>
      <c r="C2" s="36" t="s">
        <v>71</v>
      </c>
      <c r="D2" s="36" t="s">
        <v>72</v>
      </c>
      <c r="E2" s="36" t="s">
        <v>73</v>
      </c>
      <c r="F2" s="36" t="s">
        <v>74</v>
      </c>
      <c r="J2" s="35" t="s">
        <v>69</v>
      </c>
      <c r="K2" s="35" t="s">
        <v>70</v>
      </c>
      <c r="L2" s="36" t="s">
        <v>71</v>
      </c>
      <c r="M2" s="36" t="s">
        <v>72</v>
      </c>
      <c r="N2" s="36" t="s">
        <v>73</v>
      </c>
      <c r="O2" s="36"/>
      <c r="P2" s="36" t="s">
        <v>74</v>
      </c>
    </row>
    <row r="3" spans="1:20" ht="15" x14ac:dyDescent="0.25">
      <c r="A3" s="37">
        <v>40130</v>
      </c>
      <c r="B3" s="38">
        <v>-10183896.199999999</v>
      </c>
      <c r="C3" s="39">
        <v>11120346.430000002</v>
      </c>
      <c r="D3" s="38">
        <v>10183896.199999999</v>
      </c>
      <c r="E3" s="34">
        <f>+E1</f>
        <v>0.15821961619647662</v>
      </c>
      <c r="J3" s="37">
        <v>40130</v>
      </c>
      <c r="K3" s="38">
        <v>-10183896.199999999</v>
      </c>
      <c r="L3" s="39">
        <v>11120346.430000002</v>
      </c>
      <c r="M3" s="38">
        <v>10183896.199999999</v>
      </c>
      <c r="N3" s="57">
        <f>'get Rates'!F21</f>
        <v>0.14263631006507527</v>
      </c>
      <c r="P3" s="61"/>
      <c r="S3"/>
      <c r="T3" s="31"/>
    </row>
    <row r="4" spans="1:20" ht="15" x14ac:dyDescent="0.25">
      <c r="A4" s="37">
        <v>40222</v>
      </c>
      <c r="B4" s="38">
        <v>361411.258975</v>
      </c>
      <c r="C4" s="38"/>
      <c r="D4" s="38">
        <f t="shared" ref="D4:D31" si="0">+D3+F4</f>
        <v>10225307.978062188</v>
      </c>
      <c r="F4" s="39">
        <f>(0.25*$E$3*D3)-B4</f>
        <v>41411.778062189114</v>
      </c>
      <c r="G4" s="39"/>
      <c r="J4" s="37">
        <v>40222</v>
      </c>
      <c r="K4" s="38">
        <v>361411.258975</v>
      </c>
      <c r="L4" s="38"/>
      <c r="M4" s="38">
        <f t="shared" ref="M4:M31" si="1">+M3+P4</f>
        <v>10185633.285038434</v>
      </c>
      <c r="N4" s="57">
        <f>'get Rates'!G21</f>
        <v>0.14308542174091621</v>
      </c>
      <c r="P4" s="39">
        <f t="shared" ref="P4:P31" si="2">(0.25*N3*M3)-K4</f>
        <v>1737.0850384354126</v>
      </c>
      <c r="S4"/>
      <c r="T4" s="31"/>
    </row>
    <row r="5" spans="1:20" ht="15" x14ac:dyDescent="0.25">
      <c r="A5" s="37">
        <v>40311</v>
      </c>
      <c r="B5" s="38">
        <v>361411.258975</v>
      </c>
      <c r="C5" s="38"/>
      <c r="D5" s="38">
        <f t="shared" si="0"/>
        <v>10268357.795032131</v>
      </c>
      <c r="F5" s="39">
        <f>(0.25*$E$3*D4)-B5</f>
        <v>43049.816969942418</v>
      </c>
      <c r="J5" s="37">
        <v>40311</v>
      </c>
      <c r="K5" s="38">
        <v>361411.258975</v>
      </c>
      <c r="L5" s="38"/>
      <c r="M5" s="38">
        <f t="shared" si="1"/>
        <v>10188575.934635444</v>
      </c>
      <c r="N5" s="57">
        <f>'get Rates'!H21</f>
        <v>0.14353391135957716</v>
      </c>
      <c r="P5" s="39">
        <f t="shared" si="2"/>
        <v>2942.6495970095275</v>
      </c>
      <c r="S5"/>
      <c r="T5" s="31"/>
    </row>
    <row r="6" spans="1:20" ht="15" x14ac:dyDescent="0.25">
      <c r="A6" s="37">
        <v>40403</v>
      </c>
      <c r="B6" s="38">
        <v>361411.258975</v>
      </c>
      <c r="C6" s="38"/>
      <c r="D6" s="38">
        <f t="shared" si="0"/>
        <v>10313110.44338165</v>
      </c>
      <c r="F6" s="39">
        <f t="shared" ref="F6:F31" si="3">(0.25*$E$3*D5)-B6</f>
        <v>44752.648349520634</v>
      </c>
      <c r="J6" s="37">
        <v>40403</v>
      </c>
      <c r="K6" s="38">
        <v>361411.258975</v>
      </c>
      <c r="L6" s="38"/>
      <c r="M6" s="38">
        <f t="shared" si="1"/>
        <v>10192766.214431014</v>
      </c>
      <c r="N6" s="57">
        <f>'get Rates'!I21</f>
        <v>0.14401624719158723</v>
      </c>
      <c r="P6" s="39">
        <f t="shared" si="2"/>
        <v>4190.2797955711721</v>
      </c>
      <c r="S6"/>
      <c r="T6" s="31"/>
    </row>
    <row r="7" spans="1:20" ht="15" x14ac:dyDescent="0.25">
      <c r="A7" s="37">
        <v>40495</v>
      </c>
      <c r="B7" s="38">
        <v>361411.258975</v>
      </c>
      <c r="C7" s="38"/>
      <c r="D7" s="38">
        <f t="shared" si="0"/>
        <v>10359633.27844258</v>
      </c>
      <c r="F7" s="39">
        <f t="shared" si="3"/>
        <v>46522.83506092988</v>
      </c>
      <c r="J7" s="37">
        <v>40495</v>
      </c>
      <c r="K7" s="38">
        <v>361411.258975</v>
      </c>
      <c r="L7" s="38"/>
      <c r="M7" s="38">
        <f t="shared" si="1"/>
        <v>10198335.940131903</v>
      </c>
      <c r="N7" s="57">
        <f>'get Rates'!J21</f>
        <v>0.14451650704067809</v>
      </c>
      <c r="P7" s="39">
        <f t="shared" si="2"/>
        <v>5569.7257008889574</v>
      </c>
      <c r="S7"/>
      <c r="T7" s="31"/>
    </row>
    <row r="8" spans="1:20" ht="15" x14ac:dyDescent="0.25">
      <c r="A8" s="37">
        <v>40587</v>
      </c>
      <c r="B8" s="38">
        <v>361411.258975</v>
      </c>
      <c r="C8" s="38"/>
      <c r="D8" s="38">
        <f t="shared" si="0"/>
        <v>10407996.319780439</v>
      </c>
      <c r="F8" s="39">
        <f t="shared" si="3"/>
        <v>48363.041337857954</v>
      </c>
      <c r="J8" s="37">
        <v>40587</v>
      </c>
      <c r="K8" s="38">
        <v>361411.258975</v>
      </c>
      <c r="L8" s="38"/>
      <c r="M8" s="38">
        <f t="shared" si="1"/>
        <v>10205381.65308072</v>
      </c>
      <c r="N8" s="57">
        <f>'get Rates'!K21</f>
        <v>0.14503541408975373</v>
      </c>
      <c r="P8" s="39">
        <f t="shared" si="2"/>
        <v>7045.712948818109</v>
      </c>
      <c r="S8"/>
      <c r="T8" s="31"/>
    </row>
    <row r="9" spans="1:20" ht="15" x14ac:dyDescent="0.25">
      <c r="A9" s="37">
        <v>40676</v>
      </c>
      <c r="B9" s="38">
        <v>361411.258975</v>
      </c>
      <c r="C9" s="38"/>
      <c r="D9" s="38">
        <f t="shared" si="0"/>
        <v>10458272.35657794</v>
      </c>
      <c r="F9" s="39">
        <f t="shared" si="3"/>
        <v>50276.036797500565</v>
      </c>
      <c r="J9" s="37">
        <v>40676</v>
      </c>
      <c r="K9" s="38">
        <v>361411.258975</v>
      </c>
      <c r="L9" s="38"/>
      <c r="M9" s="38">
        <f t="shared" si="1"/>
        <v>10214005.832605354</v>
      </c>
      <c r="N9" s="57">
        <f>'get Rates'!L21</f>
        <v>0.14555031770146398</v>
      </c>
      <c r="P9" s="39">
        <f t="shared" si="2"/>
        <v>8624.1795246344409</v>
      </c>
      <c r="S9"/>
      <c r="T9" s="31"/>
    </row>
    <row r="10" spans="1:20" ht="15" x14ac:dyDescent="0.25">
      <c r="A10" s="37">
        <v>40768</v>
      </c>
      <c r="B10" s="38">
        <v>361411.258975</v>
      </c>
      <c r="C10" s="38"/>
      <c r="D10" s="38">
        <f t="shared" si="0"/>
        <v>10510537.057186935</v>
      </c>
      <c r="F10" s="39">
        <f t="shared" si="3"/>
        <v>52264.700608995685</v>
      </c>
      <c r="J10" s="37">
        <v>40768</v>
      </c>
      <c r="K10" s="38">
        <v>361411.258975</v>
      </c>
      <c r="L10" s="38"/>
      <c r="M10" s="38">
        <f t="shared" si="1"/>
        <v>10224257.522115434</v>
      </c>
      <c r="N10" s="57">
        <f>'get Rates'!M21</f>
        <v>0.14610796868105769</v>
      </c>
      <c r="P10" s="39">
        <f t="shared" si="2"/>
        <v>10251.689510078868</v>
      </c>
      <c r="S10"/>
      <c r="T10" s="31"/>
    </row>
    <row r="11" spans="1:20" ht="15" x14ac:dyDescent="0.25">
      <c r="A11" s="37">
        <v>40860</v>
      </c>
      <c r="B11" s="38">
        <v>361411.258975</v>
      </c>
      <c r="C11" s="38"/>
      <c r="D11" s="38">
        <f t="shared" si="0"/>
        <v>10564869.083013676</v>
      </c>
      <c r="F11" s="39">
        <f t="shared" si="3"/>
        <v>54332.025826740428</v>
      </c>
      <c r="J11" s="37">
        <v>40860</v>
      </c>
      <c r="K11" s="38">
        <v>361411.258975</v>
      </c>
      <c r="L11" s="38"/>
      <c r="M11" s="38">
        <f t="shared" si="1"/>
        <v>10236307.637597511</v>
      </c>
      <c r="N11" s="57">
        <f>'get Rates'!N21</f>
        <v>0.14668665062888275</v>
      </c>
      <c r="P11" s="39">
        <f t="shared" si="2"/>
        <v>12050.115482077585</v>
      </c>
      <c r="S11"/>
      <c r="T11" s="31"/>
    </row>
    <row r="12" spans="1:20" ht="15" x14ac:dyDescent="0.25">
      <c r="A12" s="37">
        <v>40952</v>
      </c>
      <c r="B12" s="38">
        <v>361411.258975</v>
      </c>
      <c r="C12" s="38"/>
      <c r="D12" s="38">
        <f t="shared" si="0"/>
        <v>10621350.206908787</v>
      </c>
      <c r="F12" s="39">
        <f t="shared" si="3"/>
        <v>56481.123895111436</v>
      </c>
      <c r="J12" s="37">
        <v>40952</v>
      </c>
      <c r="K12" s="38">
        <v>361411.258975</v>
      </c>
      <c r="L12" s="38"/>
      <c r="M12" s="38">
        <f t="shared" si="1"/>
        <v>10250278.799164018</v>
      </c>
      <c r="N12" s="57">
        <f>'get Rates'!O21</f>
        <v>0.14728727002114195</v>
      </c>
      <c r="P12" s="39">
        <f t="shared" si="2"/>
        <v>13971.161566507537</v>
      </c>
      <c r="S12"/>
      <c r="T12" s="31"/>
    </row>
    <row r="13" spans="1:20" ht="15" x14ac:dyDescent="0.25">
      <c r="A13" s="37">
        <v>41042</v>
      </c>
      <c r="B13" s="38">
        <v>361411.258975</v>
      </c>
      <c r="C13" s="38"/>
      <c r="D13" s="38">
        <f t="shared" si="0"/>
        <v>10680065.436240155</v>
      </c>
      <c r="F13" s="39">
        <f t="shared" si="3"/>
        <v>58715.22933136893</v>
      </c>
      <c r="J13" s="37">
        <v>41042</v>
      </c>
      <c r="K13" s="38">
        <v>361411.258975</v>
      </c>
      <c r="L13" s="38"/>
      <c r="M13" s="38">
        <f t="shared" si="1"/>
        <v>10266301.435510132</v>
      </c>
      <c r="N13" s="57">
        <f>'get Rates'!P21</f>
        <v>0.14788882715454499</v>
      </c>
      <c r="P13" s="39">
        <f t="shared" si="2"/>
        <v>16022.636346114334</v>
      </c>
      <c r="S13"/>
      <c r="T13" s="31"/>
    </row>
    <row r="14" spans="1:20" ht="15" x14ac:dyDescent="0.25">
      <c r="A14" s="37">
        <v>41134</v>
      </c>
      <c r="B14" s="38">
        <v>361411.258975</v>
      </c>
      <c r="C14" s="38"/>
      <c r="D14" s="38">
        <f t="shared" si="0"/>
        <v>10741103.140833948</v>
      </c>
      <c r="F14" s="39">
        <f t="shared" si="3"/>
        <v>61037.704593793256</v>
      </c>
      <c r="J14" s="37">
        <v>41134</v>
      </c>
      <c r="K14" s="38">
        <v>361411.258975</v>
      </c>
      <c r="L14" s="38"/>
      <c r="M14" s="38">
        <f t="shared" si="1"/>
        <v>10284457.996163286</v>
      </c>
      <c r="N14" s="57">
        <f>'get Rates'!Q21</f>
        <v>0.14853546786860183</v>
      </c>
      <c r="P14" s="39">
        <f t="shared" si="2"/>
        <v>18156.560653153749</v>
      </c>
      <c r="S14"/>
      <c r="T14" s="31"/>
    </row>
    <row r="15" spans="1:20" ht="15" x14ac:dyDescent="0.25">
      <c r="A15" s="37">
        <v>41226</v>
      </c>
      <c r="B15" s="38">
        <v>361411.258975</v>
      </c>
      <c r="C15" s="38"/>
      <c r="D15" s="38">
        <f t="shared" si="0"/>
        <v>10804555.185976326</v>
      </c>
      <c r="F15" s="39">
        <f t="shared" si="3"/>
        <v>63452.045142379182</v>
      </c>
      <c r="J15" s="37">
        <v>41226</v>
      </c>
      <c r="K15" s="38">
        <v>361411.258975</v>
      </c>
      <c r="L15" s="38"/>
      <c r="M15" s="38">
        <f t="shared" si="1"/>
        <v>10304948.432247061</v>
      </c>
      <c r="N15" s="57">
        <f>'get Rates'!R21</f>
        <v>0.1492071561411964</v>
      </c>
      <c r="P15" s="39">
        <f t="shared" si="2"/>
        <v>20490.436083774257</v>
      </c>
      <c r="S15"/>
      <c r="T15" s="31"/>
    </row>
    <row r="16" spans="1:20" ht="15" x14ac:dyDescent="0.25">
      <c r="A16" s="37">
        <v>41318</v>
      </c>
      <c r="B16" s="38">
        <v>361411.258975</v>
      </c>
      <c r="C16" s="38"/>
      <c r="D16" s="38">
        <f t="shared" si="0"/>
        <v>10870517.070676032</v>
      </c>
      <c r="F16" s="39">
        <f t="shared" si="3"/>
        <v>65961.884699706337</v>
      </c>
      <c r="J16" s="37">
        <v>41318</v>
      </c>
      <c r="K16" s="38">
        <v>361411.258975</v>
      </c>
      <c r="L16" s="38"/>
      <c r="M16" s="38">
        <f t="shared" si="1"/>
        <v>10327930.185711378</v>
      </c>
      <c r="N16" s="57">
        <f>'get Rates'!S21</f>
        <v>0.14990512978063808</v>
      </c>
      <c r="P16" s="39">
        <f t="shared" si="2"/>
        <v>22981.753464316076</v>
      </c>
      <c r="S16"/>
      <c r="T16" s="31"/>
    </row>
    <row r="17" spans="1:20" ht="15" x14ac:dyDescent="0.25">
      <c r="A17" s="37">
        <v>41407</v>
      </c>
      <c r="B17" s="38">
        <v>361411.258975</v>
      </c>
      <c r="C17" s="38"/>
      <c r="D17" s="38">
        <f t="shared" si="0"/>
        <v>10939088.071395935</v>
      </c>
      <c r="F17" s="39">
        <f t="shared" si="3"/>
        <v>68571.00071990228</v>
      </c>
      <c r="J17" s="37">
        <v>41407</v>
      </c>
      <c r="K17" s="38">
        <v>361411.258975</v>
      </c>
      <c r="L17" s="38"/>
      <c r="M17" s="38">
        <f t="shared" si="1"/>
        <v>10353571.355449986</v>
      </c>
      <c r="N17" s="57">
        <f>'get Rates'!T21</f>
        <v>0.150581911859759</v>
      </c>
      <c r="P17" s="39">
        <f t="shared" si="2"/>
        <v>25641.169738608412</v>
      </c>
      <c r="S17"/>
      <c r="T17" s="31"/>
    </row>
    <row r="18" spans="1:20" ht="15" x14ac:dyDescent="0.25">
      <c r="A18" s="37">
        <v>41499</v>
      </c>
      <c r="B18" s="38">
        <v>361411.258975</v>
      </c>
      <c r="C18" s="38"/>
      <c r="D18" s="38">
        <f t="shared" si="0"/>
        <v>11010371.391469866</v>
      </c>
      <c r="F18" s="39">
        <f t="shared" si="3"/>
        <v>71283.320073930139</v>
      </c>
      <c r="J18" s="37">
        <v>41499</v>
      </c>
      <c r="K18" s="38">
        <v>361411.258975</v>
      </c>
      <c r="L18" s="38"/>
      <c r="M18" s="40">
        <f t="shared" si="1"/>
        <v>10381925.23879501</v>
      </c>
      <c r="N18" s="57">
        <f>'get Rates'!U21</f>
        <v>0.1513348294969773</v>
      </c>
      <c r="P18" s="39">
        <f t="shared" si="2"/>
        <v>28353.883345023787</v>
      </c>
      <c r="S18"/>
      <c r="T18" s="31"/>
    </row>
    <row r="19" spans="1:20" ht="15" x14ac:dyDescent="0.25">
      <c r="A19" s="37">
        <v>41591</v>
      </c>
      <c r="B19" s="38">
        <v>361411.258975</v>
      </c>
      <c r="C19" s="38"/>
      <c r="D19" s="38">
        <f t="shared" si="0"/>
        <v>11084474.316429622</v>
      </c>
      <c r="F19" s="39">
        <f t="shared" si="3"/>
        <v>74102.924959757132</v>
      </c>
      <c r="J19" s="37">
        <v>41591</v>
      </c>
      <c r="K19" s="38">
        <v>361411.258975</v>
      </c>
      <c r="L19" s="38"/>
      <c r="M19" s="40">
        <f t="shared" si="1"/>
        <v>10413300.701285863</v>
      </c>
      <c r="N19" s="57">
        <f>'get Rates'!V21</f>
        <v>0.15211860170374292</v>
      </c>
      <c r="P19" s="39">
        <f t="shared" si="2"/>
        <v>31375.462490852049</v>
      </c>
      <c r="S19"/>
      <c r="T19" s="31"/>
    </row>
    <row r="20" spans="1:20" ht="15" x14ac:dyDescent="0.25">
      <c r="A20" s="37">
        <v>41683</v>
      </c>
      <c r="B20" s="38">
        <v>361411.258975</v>
      </c>
      <c r="C20" s="38"/>
      <c r="D20" s="41">
        <f t="shared" si="0"/>
        <v>11161508.375475923</v>
      </c>
      <c r="F20" s="39">
        <f t="shared" si="3"/>
        <v>77034.059046299371</v>
      </c>
      <c r="G20" s="33" t="s">
        <v>75</v>
      </c>
      <c r="J20" s="37">
        <v>41683</v>
      </c>
      <c r="K20" s="38">
        <v>361411.258975</v>
      </c>
      <c r="L20" s="38"/>
      <c r="M20" s="40">
        <f t="shared" si="1"/>
        <v>10447903.627760917</v>
      </c>
      <c r="N20" s="57">
        <f>'get Rates'!W21</f>
        <v>0.15293526392954371</v>
      </c>
      <c r="P20" s="39">
        <f t="shared" si="2"/>
        <v>34602.92647505278</v>
      </c>
      <c r="S20"/>
      <c r="T20" s="31"/>
    </row>
    <row r="21" spans="1:20" ht="15" x14ac:dyDescent="0.25">
      <c r="A21" s="37">
        <v>41772</v>
      </c>
      <c r="B21" s="38">
        <v>361411.258975</v>
      </c>
      <c r="C21" s="38"/>
      <c r="D21" s="38">
        <f t="shared" si="0"/>
        <v>11241589.509336313</v>
      </c>
      <c r="F21" s="39">
        <f t="shared" si="3"/>
        <v>80081.133860389935</v>
      </c>
      <c r="J21" s="37">
        <v>41772</v>
      </c>
      <c r="K21" s="38">
        <v>361411.258975</v>
      </c>
      <c r="L21" s="38"/>
      <c r="M21" s="40">
        <f t="shared" si="1"/>
        <v>10485955.593491429</v>
      </c>
      <c r="N21" s="57">
        <f>'get Rates'!X21</f>
        <v>0.15370833894027858</v>
      </c>
      <c r="P21" s="39">
        <f t="shared" si="2"/>
        <v>38051.965730513271</v>
      </c>
      <c r="S21"/>
      <c r="T21" s="31"/>
    </row>
    <row r="22" spans="1:20" ht="15" x14ac:dyDescent="0.25">
      <c r="A22" s="37">
        <v>41864</v>
      </c>
      <c r="B22" s="38">
        <v>361411.258975</v>
      </c>
      <c r="C22" s="38"/>
      <c r="D22" s="38">
        <f t="shared" si="0"/>
        <v>11324838.244762696</v>
      </c>
      <c r="F22" s="39">
        <f t="shared" si="3"/>
        <v>83248.735426382336</v>
      </c>
      <c r="J22" s="37">
        <v>41864</v>
      </c>
      <c r="K22" s="38">
        <v>361411.258975</v>
      </c>
      <c r="L22" s="38"/>
      <c r="M22" s="40">
        <f t="shared" si="1"/>
        <v>10527489.038635703</v>
      </c>
      <c r="N22" s="57">
        <f>'get Rates'!Y21</f>
        <v>0.15459542240533219</v>
      </c>
      <c r="P22" s="39">
        <f t="shared" si="2"/>
        <v>41533.445144272642</v>
      </c>
      <c r="S22"/>
      <c r="T22" s="31"/>
    </row>
    <row r="23" spans="1:20" ht="15" x14ac:dyDescent="0.25">
      <c r="A23" s="37">
        <v>41956</v>
      </c>
      <c r="B23" s="38">
        <v>361411.258975</v>
      </c>
      <c r="C23" s="38"/>
      <c r="D23" s="38">
        <f t="shared" si="0"/>
        <v>11411379.87593108</v>
      </c>
      <c r="F23" s="39">
        <f t="shared" si="3"/>
        <v>86541.631168383465</v>
      </c>
      <c r="J23" s="37">
        <v>41956</v>
      </c>
      <c r="K23" s="38">
        <v>361411.258975</v>
      </c>
      <c r="L23" s="38"/>
      <c r="M23" s="40">
        <f t="shared" si="1"/>
        <v>10572953.18335955</v>
      </c>
      <c r="N23" s="57">
        <f>'get Rates'!Z21</f>
        <v>0.15552442712555259</v>
      </c>
      <c r="P23" s="39">
        <f t="shared" si="2"/>
        <v>45464.144723847741</v>
      </c>
      <c r="S23"/>
      <c r="T23" s="31"/>
    </row>
    <row r="24" spans="1:20" ht="15" x14ac:dyDescent="0.25">
      <c r="A24" s="37">
        <v>42048</v>
      </c>
      <c r="B24" s="38">
        <v>361411.258975</v>
      </c>
      <c r="C24" s="38"/>
      <c r="D24" s="38">
        <f t="shared" si="0"/>
        <v>11501344.653016584</v>
      </c>
      <c r="F24" s="39">
        <f t="shared" si="3"/>
        <v>89964.777085503156</v>
      </c>
      <c r="J24" s="37">
        <v>42048</v>
      </c>
      <c r="K24" s="38">
        <v>361411.258975</v>
      </c>
      <c r="L24" s="38"/>
      <c r="M24" s="40">
        <f t="shared" si="1"/>
        <v>10622630.046101371</v>
      </c>
      <c r="N24" s="57">
        <f>'get Rates'!AA21</f>
        <v>0.15650042024875022</v>
      </c>
      <c r="P24" s="39">
        <f t="shared" si="2"/>
        <v>49676.862741820398</v>
      </c>
      <c r="S24"/>
      <c r="T24" s="31"/>
    </row>
    <row r="25" spans="1:20" ht="15" x14ac:dyDescent="0.25">
      <c r="A25" s="37">
        <v>42137</v>
      </c>
      <c r="B25" s="38">
        <v>361411.258975</v>
      </c>
      <c r="C25" s="38"/>
      <c r="D25" s="38">
        <f t="shared" si="0"/>
        <v>11594867.978227505</v>
      </c>
      <c r="F25" s="39">
        <f t="shared" si="3"/>
        <v>93523.325210920593</v>
      </c>
      <c r="J25" s="37">
        <v>42137</v>
      </c>
      <c r="K25" s="38">
        <v>361411.258975</v>
      </c>
      <c r="L25" s="38"/>
      <c r="M25" s="40">
        <f t="shared" si="1"/>
        <v>10676830.303716836</v>
      </c>
      <c r="N25" s="57">
        <f>'get Rates'!AB21</f>
        <v>0.15737837694678192</v>
      </c>
      <c r="P25" s="39">
        <f t="shared" si="2"/>
        <v>54200.257615466369</v>
      </c>
      <c r="S25"/>
      <c r="T25" s="31"/>
    </row>
    <row r="26" spans="1:20" ht="15" x14ac:dyDescent="0.25">
      <c r="A26" s="37">
        <v>42229</v>
      </c>
      <c r="B26" s="38">
        <v>361411.258975</v>
      </c>
      <c r="C26" s="38"/>
      <c r="D26" s="38">
        <f t="shared" si="0"/>
        <v>11692090.609593499</v>
      </c>
      <c r="F26" s="39">
        <f t="shared" si="3"/>
        <v>97222.631365993177</v>
      </c>
      <c r="J26" s="37">
        <v>42229</v>
      </c>
      <c r="K26" s="38">
        <v>361411.258975</v>
      </c>
      <c r="L26" s="38"/>
      <c r="M26" s="40">
        <f t="shared" si="1"/>
        <v>10735494.600775629</v>
      </c>
      <c r="N26" s="57">
        <f>'get Rates'!AC21</f>
        <v>0.15846673697380032</v>
      </c>
      <c r="P26" s="39">
        <f t="shared" si="2"/>
        <v>58664.297058793076</v>
      </c>
      <c r="S26"/>
      <c r="T26" s="31"/>
    </row>
    <row r="27" spans="1:20" ht="15" x14ac:dyDescent="0.25">
      <c r="A27" s="37">
        <v>42321</v>
      </c>
      <c r="B27" s="38">
        <v>361411.258975</v>
      </c>
      <c r="C27" s="38"/>
      <c r="D27" s="38">
        <f t="shared" si="0"/>
        <v>11793158.872814577</v>
      </c>
      <c r="F27" s="39">
        <f t="shared" si="3"/>
        <v>101068.26322107797</v>
      </c>
      <c r="J27" s="37">
        <v>42321</v>
      </c>
      <c r="K27" s="38">
        <v>361411.258975</v>
      </c>
      <c r="L27" s="38"/>
      <c r="M27" s="40">
        <f t="shared" si="1"/>
        <v>10799388.041596821</v>
      </c>
      <c r="N27" s="57">
        <f>'get Rates'!AD21</f>
        <v>0.15963765939433616</v>
      </c>
      <c r="P27" s="39">
        <f t="shared" si="2"/>
        <v>63893.440821191238</v>
      </c>
      <c r="S27"/>
      <c r="T27" s="31"/>
    </row>
    <row r="28" spans="1:20" ht="15" x14ac:dyDescent="0.25">
      <c r="A28" s="37">
        <v>42413</v>
      </c>
      <c r="B28" s="38">
        <v>361411.258975</v>
      </c>
      <c r="C28" s="38"/>
      <c r="D28" s="38">
        <f t="shared" si="0"/>
        <v>11898224.881489776</v>
      </c>
      <c r="F28" s="39">
        <f t="shared" si="3"/>
        <v>105066.00867519883</v>
      </c>
      <c r="J28" s="37">
        <v>42413</v>
      </c>
      <c r="K28" s="38">
        <v>361411.258975</v>
      </c>
      <c r="L28" s="38"/>
      <c r="M28" s="40">
        <f t="shared" si="1"/>
        <v>10868974.040084746</v>
      </c>
      <c r="N28" s="57">
        <f>'get Rates'!AE21</f>
        <v>0.16092627206491328</v>
      </c>
      <c r="P28" s="39">
        <f t="shared" si="2"/>
        <v>69585.998487925041</v>
      </c>
      <c r="S28"/>
      <c r="T28" s="31"/>
    </row>
    <row r="29" spans="1:20" ht="15" x14ac:dyDescent="0.25">
      <c r="A29" s="37">
        <v>42503</v>
      </c>
      <c r="B29" s="38">
        <v>361411.258975</v>
      </c>
      <c r="C29" s="38"/>
      <c r="D29" s="38">
        <f t="shared" si="0"/>
        <v>12007446.766056946</v>
      </c>
      <c r="F29" s="39">
        <f t="shared" si="3"/>
        <v>109221.88456717023</v>
      </c>
      <c r="J29" s="37">
        <v>42503</v>
      </c>
      <c r="K29" s="38">
        <v>361411.258975</v>
      </c>
      <c r="L29" s="38"/>
      <c r="M29" s="40">
        <f t="shared" si="1"/>
        <v>10944838.649470035</v>
      </c>
      <c r="N29" s="57">
        <f>'get Rates'!AF21</f>
        <v>0.1620607477452779</v>
      </c>
      <c r="P29" s="39">
        <f t="shared" si="2"/>
        <v>75864.609385289368</v>
      </c>
      <c r="S29"/>
      <c r="T29" s="31"/>
    </row>
    <row r="30" spans="1:20" ht="15" x14ac:dyDescent="0.25">
      <c r="A30" s="37">
        <v>42595</v>
      </c>
      <c r="B30" s="38">
        <v>361411.258975</v>
      </c>
      <c r="C30" s="38"/>
      <c r="D30" s="38">
        <f t="shared" si="0"/>
        <v>12120988.911788234</v>
      </c>
      <c r="F30" s="39">
        <f t="shared" si="3"/>
        <v>113542.14573128859</v>
      </c>
      <c r="J30" s="37">
        <v>42595</v>
      </c>
      <c r="K30" s="38">
        <v>361411.258975</v>
      </c>
      <c r="L30" s="38"/>
      <c r="M30" s="40">
        <f t="shared" si="1"/>
        <v>11026859.574366167</v>
      </c>
      <c r="N30" s="57">
        <f>'get Rates'!AG21</f>
        <v>0.16406141509166317</v>
      </c>
      <c r="P30" s="39">
        <f t="shared" si="2"/>
        <v>82020.924896132841</v>
      </c>
      <c r="S30"/>
      <c r="T30" s="31"/>
    </row>
    <row r="31" spans="1:20" ht="15" x14ac:dyDescent="0.25">
      <c r="A31" s="37">
        <v>42687</v>
      </c>
      <c r="B31" s="38">
        <v>361411.258975</v>
      </c>
      <c r="C31" s="38"/>
      <c r="D31" s="42">
        <f t="shared" si="0"/>
        <v>12239022.206199456</v>
      </c>
      <c r="F31" s="39">
        <f t="shared" si="3"/>
        <v>118033.29441122082</v>
      </c>
      <c r="J31" s="37">
        <v>42687</v>
      </c>
      <c r="K31" s="38">
        <v>361411.258975</v>
      </c>
      <c r="L31" s="38"/>
      <c r="M31" s="43">
        <f t="shared" si="1"/>
        <v>11117718.861838059</v>
      </c>
      <c r="N31" s="57"/>
      <c r="P31" s="39">
        <f t="shared" si="2"/>
        <v>90859.287471891963</v>
      </c>
    </row>
    <row r="32" spans="1:20" x14ac:dyDescent="0.2">
      <c r="F32" s="39">
        <f>SUM(F4:F31)</f>
        <v>2055126.0061994537</v>
      </c>
      <c r="M32" s="44"/>
      <c r="P32" s="39" t="s">
        <v>82</v>
      </c>
    </row>
    <row r="33" spans="16:18" x14ac:dyDescent="0.2">
      <c r="P33" s="39">
        <f>SUM(P4:P32)</f>
        <v>933822.66183806106</v>
      </c>
    </row>
    <row r="34" spans="16:18" x14ac:dyDescent="0.2">
      <c r="R34" s="39" t="s">
        <v>82</v>
      </c>
    </row>
    <row r="35" spans="16:18" x14ac:dyDescent="0.2">
      <c r="P35" s="39">
        <f>+P33-L1</f>
        <v>-2627.5681619412499</v>
      </c>
      <c r="Q35" s="34" t="s">
        <v>91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23"/>
  <sheetViews>
    <sheetView tabSelected="1" workbookViewId="0">
      <selection activeCell="F22" sqref="F22:AG22"/>
    </sheetView>
  </sheetViews>
  <sheetFormatPr defaultRowHeight="15" x14ac:dyDescent="0.25"/>
  <cols>
    <col min="6" max="6" width="14.42578125" bestFit="1" customWidth="1"/>
    <col min="7" max="7" width="14.7109375" bestFit="1" customWidth="1"/>
    <col min="8" max="8" width="12.7109375" bestFit="1" customWidth="1"/>
    <col min="9" max="9" width="14.5703125" customWidth="1"/>
    <col min="10" max="10" width="12.7109375" bestFit="1" customWidth="1"/>
    <col min="11" max="11" width="13.7109375" customWidth="1"/>
    <col min="12" max="12" width="12.28515625" customWidth="1"/>
    <col min="13" max="13" width="12.7109375" bestFit="1" customWidth="1"/>
    <col min="14" max="14" width="15.140625" customWidth="1"/>
    <col min="15" max="15" width="12" bestFit="1" customWidth="1"/>
    <col min="16" max="17" width="12.7109375" bestFit="1" customWidth="1"/>
    <col min="18" max="19" width="12" bestFit="1" customWidth="1"/>
    <col min="20" max="21" width="12.7109375" bestFit="1" customWidth="1"/>
    <col min="22" max="23" width="12" bestFit="1" customWidth="1"/>
    <col min="24" max="25" width="12.7109375" bestFit="1" customWidth="1"/>
    <col min="26" max="27" width="12" bestFit="1" customWidth="1"/>
    <col min="28" max="29" width="12.7109375" bestFit="1" customWidth="1"/>
    <col min="30" max="31" width="12" bestFit="1" customWidth="1"/>
    <col min="32" max="32" width="12.7109375" bestFit="1" customWidth="1"/>
    <col min="33" max="33" width="12" bestFit="1" customWidth="1"/>
    <col min="34" max="34" width="12.28515625" customWidth="1"/>
  </cols>
  <sheetData>
    <row r="1" spans="2:34" s="2" customFormat="1" ht="12" x14ac:dyDescent="0.2">
      <c r="B1" s="1" t="s">
        <v>16</v>
      </c>
      <c r="F1" s="32">
        <f>'Carry Value Proof '!J3</f>
        <v>40130</v>
      </c>
      <c r="G1" s="32">
        <f>'Carry Value Proof '!J4</f>
        <v>40222</v>
      </c>
      <c r="H1" s="32">
        <f>'Carry Value Proof '!J5</f>
        <v>40311</v>
      </c>
      <c r="I1" s="32">
        <f>'Carry Value Proof '!J6</f>
        <v>40403</v>
      </c>
      <c r="J1" s="32">
        <f>'Carry Value Proof '!J7</f>
        <v>40495</v>
      </c>
      <c r="K1" s="32">
        <f>'Carry Value Proof '!J8</f>
        <v>40587</v>
      </c>
      <c r="L1" s="32">
        <f>'Carry Value Proof '!J9</f>
        <v>40676</v>
      </c>
      <c r="M1" s="32">
        <f>'Carry Value Proof '!J10</f>
        <v>40768</v>
      </c>
      <c r="N1" s="32">
        <f>'Carry Value Proof '!J11</f>
        <v>40860</v>
      </c>
      <c r="O1" s="32">
        <f>'Carry Value Proof '!J12</f>
        <v>40952</v>
      </c>
      <c r="P1" s="32">
        <f>'Carry Value Proof '!J13</f>
        <v>41042</v>
      </c>
      <c r="Q1" s="32">
        <f>'Carry Value Proof '!J14</f>
        <v>41134</v>
      </c>
      <c r="R1" s="32">
        <f>'Carry Value Proof '!J15</f>
        <v>41226</v>
      </c>
      <c r="S1" s="32">
        <f>'Carry Value Proof '!J16</f>
        <v>41318</v>
      </c>
      <c r="T1" s="32">
        <f>'Carry Value Proof '!J17</f>
        <v>41407</v>
      </c>
      <c r="U1" s="32">
        <f>'Carry Value Proof '!J18</f>
        <v>41499</v>
      </c>
      <c r="V1" s="32">
        <f>'Carry Value Proof '!J19</f>
        <v>41591</v>
      </c>
      <c r="W1" s="32">
        <f>'Carry Value Proof '!J20</f>
        <v>41683</v>
      </c>
      <c r="X1" s="32">
        <f>'Carry Value Proof '!J21</f>
        <v>41772</v>
      </c>
      <c r="Y1" s="32">
        <f>'Carry Value Proof '!J22</f>
        <v>41864</v>
      </c>
      <c r="Z1" s="32">
        <f>'Carry Value Proof '!J23</f>
        <v>41956</v>
      </c>
      <c r="AA1" s="32">
        <f>'Carry Value Proof '!J24</f>
        <v>42048</v>
      </c>
      <c r="AB1" s="32">
        <f>'Carry Value Proof '!J25</f>
        <v>42137</v>
      </c>
      <c r="AC1" s="32">
        <f>'Carry Value Proof '!J26</f>
        <v>42229</v>
      </c>
      <c r="AD1" s="32">
        <f>'Carry Value Proof '!J27</f>
        <v>42321</v>
      </c>
      <c r="AE1" s="32">
        <f>'Carry Value Proof '!J28</f>
        <v>42413</v>
      </c>
      <c r="AF1" s="32">
        <f>'Carry Value Proof '!J29</f>
        <v>42503</v>
      </c>
      <c r="AG1" s="32">
        <f>'Carry Value Proof '!J30</f>
        <v>42595</v>
      </c>
      <c r="AH1" s="32">
        <f>'Carry Value Proof '!J31</f>
        <v>42687</v>
      </c>
    </row>
    <row r="2" spans="2:34" s="2" customFormat="1" ht="12" x14ac:dyDescent="0.2"/>
    <row r="3" spans="2:34" s="2" customFormat="1" ht="12" x14ac:dyDescent="0.2">
      <c r="C3" s="2" t="s">
        <v>17</v>
      </c>
      <c r="E3" s="3" t="s">
        <v>18</v>
      </c>
      <c r="F3" s="6">
        <v>11120346.43</v>
      </c>
      <c r="G3" s="6">
        <v>11120346.43</v>
      </c>
      <c r="H3" s="6">
        <v>11120346.43</v>
      </c>
      <c r="I3" s="6">
        <v>11120346.43</v>
      </c>
      <c r="J3" s="6">
        <v>11120346.43</v>
      </c>
      <c r="K3" s="6">
        <v>11120346.43</v>
      </c>
      <c r="L3" s="6">
        <v>11120346.43</v>
      </c>
      <c r="M3" s="6">
        <v>11120346.43</v>
      </c>
      <c r="N3" s="6">
        <v>11120346.43</v>
      </c>
      <c r="O3" s="6">
        <v>11120346.43</v>
      </c>
      <c r="P3" s="6">
        <v>11120346.43</v>
      </c>
      <c r="Q3" s="6">
        <v>11120346.43</v>
      </c>
      <c r="R3" s="6">
        <v>11120346.43</v>
      </c>
      <c r="S3" s="6">
        <v>11120346.43</v>
      </c>
      <c r="T3" s="6">
        <v>11120346.43</v>
      </c>
      <c r="U3" s="6">
        <v>11120346.43</v>
      </c>
      <c r="V3" s="6">
        <v>11120346.43</v>
      </c>
      <c r="W3" s="6">
        <v>11120346.43</v>
      </c>
      <c r="X3" s="6">
        <v>11120346.43</v>
      </c>
      <c r="Y3" s="6">
        <v>11120346.43</v>
      </c>
      <c r="Z3" s="6">
        <v>11120346.43</v>
      </c>
      <c r="AA3" s="6">
        <v>11120346.43</v>
      </c>
      <c r="AB3" s="6">
        <v>11120346.43</v>
      </c>
      <c r="AC3" s="6">
        <v>11120346.43</v>
      </c>
      <c r="AD3" s="6">
        <v>11120346.43</v>
      </c>
      <c r="AE3" s="6">
        <v>11120346.43</v>
      </c>
      <c r="AF3" s="6">
        <v>11120346.43</v>
      </c>
      <c r="AG3" s="6">
        <v>11120346.43</v>
      </c>
      <c r="AH3" s="6">
        <v>11120346.43</v>
      </c>
    </row>
    <row r="4" spans="2:34" s="2" customFormat="1" ht="12" x14ac:dyDescent="0.2">
      <c r="C4" s="2" t="s">
        <v>20</v>
      </c>
      <c r="E4" s="3" t="s">
        <v>21</v>
      </c>
      <c r="F4" s="59">
        <f>'Carry Value Proof '!M3</f>
        <v>10183896.199999999</v>
      </c>
      <c r="G4" s="6">
        <f>'Carry Value Proof '!M4</f>
        <v>10185633.285038434</v>
      </c>
      <c r="H4" s="4">
        <f>'Carry Value Proof '!M5</f>
        <v>10188575.934635444</v>
      </c>
      <c r="I4" s="4">
        <f>'Carry Value Proof '!M6</f>
        <v>10192766.214431014</v>
      </c>
      <c r="J4" s="4">
        <f>'Carry Value Proof '!M7</f>
        <v>10198335.940131903</v>
      </c>
      <c r="K4" s="4">
        <f>'Carry Value Proof '!M8</f>
        <v>10205381.65308072</v>
      </c>
      <c r="L4" s="4">
        <f>'Carry Value Proof '!M9</f>
        <v>10214005.832605354</v>
      </c>
      <c r="M4" s="4">
        <f>'Carry Value Proof '!M10</f>
        <v>10224257.522115434</v>
      </c>
      <c r="N4" s="4">
        <f>'Carry Value Proof '!M11</f>
        <v>10236307.637597511</v>
      </c>
      <c r="O4" s="4">
        <f>'Carry Value Proof '!M12</f>
        <v>10250278.799164018</v>
      </c>
      <c r="P4" s="4">
        <f>'Carry Value Proof '!M13</f>
        <v>10266301.435510132</v>
      </c>
      <c r="Q4" s="4">
        <f>'Carry Value Proof '!M14</f>
        <v>10284457.996163286</v>
      </c>
      <c r="R4" s="4">
        <f>'Carry Value Proof '!M15</f>
        <v>10304948.432247061</v>
      </c>
      <c r="S4" s="4">
        <f>'Carry Value Proof '!M16</f>
        <v>10327930.185711378</v>
      </c>
      <c r="T4" s="4">
        <f>'Carry Value Proof '!M17</f>
        <v>10353571.355449986</v>
      </c>
      <c r="U4" s="4">
        <f>'Carry Value Proof '!M18</f>
        <v>10381925.23879501</v>
      </c>
      <c r="V4" s="4">
        <f>'Carry Value Proof '!M19</f>
        <v>10413300.701285863</v>
      </c>
      <c r="W4" s="4">
        <f>'Carry Value Proof '!M20</f>
        <v>10447903.627760917</v>
      </c>
      <c r="X4" s="4">
        <f>'Carry Value Proof '!M21</f>
        <v>10485955.593491429</v>
      </c>
      <c r="Y4" s="4">
        <f>'Carry Value Proof '!M22</f>
        <v>10527489.038635703</v>
      </c>
      <c r="Z4" s="4">
        <f>'Carry Value Proof '!M23</f>
        <v>10572953.18335955</v>
      </c>
      <c r="AA4" s="4">
        <f>'Carry Value Proof '!M24</f>
        <v>10622630.046101371</v>
      </c>
      <c r="AB4" s="4">
        <f>'Carry Value Proof '!M25</f>
        <v>10676830.303716836</v>
      </c>
      <c r="AC4" s="4">
        <f>'Carry Value Proof '!M26</f>
        <v>10735494.600775629</v>
      </c>
      <c r="AD4" s="4">
        <f>'Carry Value Proof '!M27</f>
        <v>10799388.041596821</v>
      </c>
      <c r="AE4" s="4">
        <f>'Carry Value Proof '!M28</f>
        <v>10868974.040084746</v>
      </c>
      <c r="AF4" s="4">
        <f>'Carry Value Proof '!M29</f>
        <v>10944838.649470035</v>
      </c>
      <c r="AG4" s="4">
        <f>'Carry Value Proof '!M30</f>
        <v>11026859.574366167</v>
      </c>
      <c r="AH4" s="4">
        <f>'Carry Value Proof '!M31</f>
        <v>11117718.861838059</v>
      </c>
    </row>
    <row r="5" spans="2:34" s="2" customFormat="1" ht="13.5" x14ac:dyDescent="0.25">
      <c r="C5" s="2" t="s">
        <v>23</v>
      </c>
      <c r="E5" s="3" t="s">
        <v>24</v>
      </c>
      <c r="F5" s="5">
        <v>40130</v>
      </c>
      <c r="G5" s="5">
        <v>40222</v>
      </c>
      <c r="H5" s="5">
        <f t="shared" ref="H5:AH5" si="0">H1</f>
        <v>40311</v>
      </c>
      <c r="I5" s="5">
        <f t="shared" si="0"/>
        <v>40403</v>
      </c>
      <c r="J5" s="5">
        <f t="shared" si="0"/>
        <v>40495</v>
      </c>
      <c r="K5" s="5">
        <f t="shared" si="0"/>
        <v>40587</v>
      </c>
      <c r="L5" s="5">
        <f t="shared" si="0"/>
        <v>40676</v>
      </c>
      <c r="M5" s="5">
        <f t="shared" si="0"/>
        <v>40768</v>
      </c>
      <c r="N5" s="5">
        <f t="shared" si="0"/>
        <v>40860</v>
      </c>
      <c r="O5" s="5">
        <f t="shared" si="0"/>
        <v>40952</v>
      </c>
      <c r="P5" s="5">
        <f t="shared" si="0"/>
        <v>41042</v>
      </c>
      <c r="Q5" s="5">
        <f t="shared" si="0"/>
        <v>41134</v>
      </c>
      <c r="R5" s="5">
        <f t="shared" si="0"/>
        <v>41226</v>
      </c>
      <c r="S5" s="5">
        <f t="shared" si="0"/>
        <v>41318</v>
      </c>
      <c r="T5" s="5">
        <f t="shared" si="0"/>
        <v>41407</v>
      </c>
      <c r="U5" s="5">
        <f t="shared" si="0"/>
        <v>41499</v>
      </c>
      <c r="V5" s="5">
        <f t="shared" si="0"/>
        <v>41591</v>
      </c>
      <c r="W5" s="5">
        <f t="shared" si="0"/>
        <v>41683</v>
      </c>
      <c r="X5" s="5">
        <f t="shared" si="0"/>
        <v>41772</v>
      </c>
      <c r="Y5" s="5">
        <f t="shared" si="0"/>
        <v>41864</v>
      </c>
      <c r="Z5" s="5">
        <f t="shared" si="0"/>
        <v>41956</v>
      </c>
      <c r="AA5" s="5">
        <f t="shared" si="0"/>
        <v>42048</v>
      </c>
      <c r="AB5" s="5">
        <f t="shared" si="0"/>
        <v>42137</v>
      </c>
      <c r="AC5" s="5">
        <f t="shared" si="0"/>
        <v>42229</v>
      </c>
      <c r="AD5" s="5">
        <f t="shared" si="0"/>
        <v>42321</v>
      </c>
      <c r="AE5" s="5">
        <f t="shared" si="0"/>
        <v>42413</v>
      </c>
      <c r="AF5" s="5">
        <f t="shared" si="0"/>
        <v>42503</v>
      </c>
      <c r="AG5" s="5">
        <f t="shared" si="0"/>
        <v>42595</v>
      </c>
      <c r="AH5" s="5">
        <f t="shared" si="0"/>
        <v>42687</v>
      </c>
    </row>
    <row r="6" spans="2:34" s="2" customFormat="1" ht="13.5" x14ac:dyDescent="0.25">
      <c r="C6" s="2" t="s">
        <v>26</v>
      </c>
      <c r="E6" s="3" t="s">
        <v>27</v>
      </c>
      <c r="F6" s="5">
        <v>42687</v>
      </c>
      <c r="G6" s="5">
        <v>42687</v>
      </c>
      <c r="H6" s="5">
        <v>42687</v>
      </c>
      <c r="I6" s="5">
        <v>42687</v>
      </c>
      <c r="J6" s="5">
        <v>42687</v>
      </c>
      <c r="K6" s="5">
        <v>42687</v>
      </c>
      <c r="L6" s="5">
        <v>42687</v>
      </c>
      <c r="M6" s="5">
        <v>42687</v>
      </c>
      <c r="N6" s="5">
        <v>42687</v>
      </c>
      <c r="O6" s="5">
        <v>42687</v>
      </c>
      <c r="P6" s="5">
        <v>42687</v>
      </c>
      <c r="Q6" s="5">
        <v>42687</v>
      </c>
      <c r="R6" s="5">
        <v>42687</v>
      </c>
      <c r="S6" s="5">
        <v>42687</v>
      </c>
      <c r="T6" s="5">
        <v>42687</v>
      </c>
      <c r="U6" s="5">
        <v>42687</v>
      </c>
      <c r="V6" s="5">
        <v>42687</v>
      </c>
      <c r="W6" s="5">
        <v>42687</v>
      </c>
      <c r="X6" s="5">
        <v>42687</v>
      </c>
      <c r="Y6" s="5">
        <v>42687</v>
      </c>
      <c r="Z6" s="5">
        <v>42687</v>
      </c>
      <c r="AA6" s="5">
        <v>42687</v>
      </c>
      <c r="AB6" s="5">
        <v>42687</v>
      </c>
      <c r="AC6" s="5">
        <v>42687</v>
      </c>
      <c r="AD6" s="5">
        <v>42687</v>
      </c>
      <c r="AE6" s="5">
        <v>42687</v>
      </c>
      <c r="AF6" s="5">
        <v>42687</v>
      </c>
      <c r="AG6" s="5">
        <v>42687</v>
      </c>
      <c r="AH6" s="5">
        <v>42687</v>
      </c>
    </row>
    <row r="7" spans="2:34" s="2" customFormat="1" ht="12" x14ac:dyDescent="0.2">
      <c r="C7" s="2" t="s">
        <v>29</v>
      </c>
      <c r="E7" s="3" t="s">
        <v>30</v>
      </c>
      <c r="F7" s="6">
        <f>(F6-F5)/365</f>
        <v>7.0054794520547947</v>
      </c>
      <c r="G7" s="7">
        <f>(G6-G5)/365</f>
        <v>6.7534246575342465</v>
      </c>
      <c r="H7" s="7">
        <f t="shared" ref="H7:AH7" si="1">(H6-H5)/360</f>
        <v>6.6</v>
      </c>
      <c r="I7" s="7">
        <f t="shared" si="1"/>
        <v>6.3444444444444441</v>
      </c>
      <c r="J7" s="7">
        <f t="shared" si="1"/>
        <v>6.0888888888888886</v>
      </c>
      <c r="K7" s="7">
        <f t="shared" si="1"/>
        <v>5.833333333333333</v>
      </c>
      <c r="L7" s="7">
        <f t="shared" si="1"/>
        <v>5.5861111111111112</v>
      </c>
      <c r="M7" s="7">
        <f t="shared" si="1"/>
        <v>5.3305555555555557</v>
      </c>
      <c r="N7" s="7">
        <f t="shared" si="1"/>
        <v>5.0750000000000002</v>
      </c>
      <c r="O7" s="7">
        <f t="shared" si="1"/>
        <v>4.8194444444444446</v>
      </c>
      <c r="P7" s="7">
        <f t="shared" si="1"/>
        <v>4.5694444444444446</v>
      </c>
      <c r="Q7" s="7">
        <f t="shared" si="1"/>
        <v>4.3138888888888891</v>
      </c>
      <c r="R7" s="7">
        <f t="shared" si="1"/>
        <v>4.0583333333333336</v>
      </c>
      <c r="S7" s="7">
        <f t="shared" si="1"/>
        <v>3.8027777777777776</v>
      </c>
      <c r="T7" s="7">
        <f t="shared" si="1"/>
        <v>3.5555555555555554</v>
      </c>
      <c r="U7" s="7">
        <f t="shared" si="1"/>
        <v>3.3</v>
      </c>
      <c r="V7" s="7">
        <f t="shared" si="1"/>
        <v>3.0444444444444443</v>
      </c>
      <c r="W7" s="7">
        <f t="shared" si="1"/>
        <v>2.7888888888888888</v>
      </c>
      <c r="X7" s="7">
        <f t="shared" si="1"/>
        <v>2.5416666666666665</v>
      </c>
      <c r="Y7" s="7">
        <f t="shared" si="1"/>
        <v>2.286111111111111</v>
      </c>
      <c r="Z7" s="7">
        <f t="shared" si="1"/>
        <v>2.0305555555555554</v>
      </c>
      <c r="AA7" s="7">
        <f t="shared" si="1"/>
        <v>1.7749999999999999</v>
      </c>
      <c r="AB7" s="7">
        <f t="shared" si="1"/>
        <v>1.5277777777777777</v>
      </c>
      <c r="AC7" s="7">
        <f t="shared" si="1"/>
        <v>1.2722222222222221</v>
      </c>
      <c r="AD7" s="7">
        <f t="shared" si="1"/>
        <v>1.0166666666666666</v>
      </c>
      <c r="AE7" s="7">
        <f t="shared" si="1"/>
        <v>0.76111111111111107</v>
      </c>
      <c r="AF7" s="7">
        <f t="shared" si="1"/>
        <v>0.51111111111111107</v>
      </c>
      <c r="AG7" s="7">
        <f t="shared" si="1"/>
        <v>0.25555555555555554</v>
      </c>
      <c r="AH7" s="7">
        <f t="shared" si="1"/>
        <v>0</v>
      </c>
    </row>
    <row r="8" spans="2:34" s="2" customFormat="1" ht="13.5" x14ac:dyDescent="0.25">
      <c r="C8" s="2" t="s">
        <v>31</v>
      </c>
      <c r="E8" s="3" t="s">
        <v>32</v>
      </c>
      <c r="F8" s="8">
        <v>0.13</v>
      </c>
      <c r="G8" s="8">
        <v>0.13</v>
      </c>
      <c r="H8" s="8">
        <v>0.13</v>
      </c>
      <c r="I8" s="8">
        <v>0.13</v>
      </c>
      <c r="J8" s="8">
        <v>0.13</v>
      </c>
      <c r="K8" s="8">
        <v>0.13</v>
      </c>
      <c r="L8" s="8">
        <v>0.13</v>
      </c>
      <c r="M8" s="8">
        <v>0.13</v>
      </c>
      <c r="N8" s="8">
        <v>0.13</v>
      </c>
      <c r="O8" s="8">
        <v>0.13</v>
      </c>
      <c r="P8" s="8">
        <v>0.13</v>
      </c>
      <c r="Q8" s="8">
        <v>0.13</v>
      </c>
      <c r="R8" s="8">
        <v>0.13</v>
      </c>
      <c r="S8" s="8">
        <v>0.13</v>
      </c>
      <c r="T8" s="8">
        <v>0.13</v>
      </c>
      <c r="U8" s="8">
        <v>0.13</v>
      </c>
      <c r="V8" s="8">
        <v>0.13</v>
      </c>
      <c r="W8" s="8">
        <v>0.13</v>
      </c>
      <c r="X8" s="8">
        <v>0.13</v>
      </c>
      <c r="Y8" s="8">
        <v>0.13</v>
      </c>
      <c r="Z8" s="8">
        <v>0.13</v>
      </c>
      <c r="AA8" s="8">
        <v>0.13</v>
      </c>
      <c r="AB8" s="8">
        <v>0.13</v>
      </c>
      <c r="AC8" s="8">
        <v>0.13</v>
      </c>
      <c r="AD8" s="8">
        <v>0.13</v>
      </c>
      <c r="AE8" s="8">
        <v>0.13</v>
      </c>
      <c r="AF8" s="8">
        <v>0.13</v>
      </c>
      <c r="AG8" s="8">
        <v>0.13</v>
      </c>
      <c r="AH8" s="8">
        <v>0.13</v>
      </c>
    </row>
    <row r="9" spans="2:34" s="2" customFormat="1" ht="13.5" x14ac:dyDescent="0.25">
      <c r="C9" s="2" t="s">
        <v>34</v>
      </c>
      <c r="E9" s="3" t="s">
        <v>35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</row>
    <row r="10" spans="2:34" s="2" customFormat="1" ht="12" x14ac:dyDescent="0.2">
      <c r="C10" s="2" t="s">
        <v>37</v>
      </c>
      <c r="E10" s="3" t="s">
        <v>38</v>
      </c>
      <c r="F10" s="6">
        <f t="shared" ref="F10:AH10" si="2">SUM(F8:F9)*F3</f>
        <v>1445645.0359</v>
      </c>
      <c r="G10" s="6">
        <f t="shared" si="2"/>
        <v>1445645.0359</v>
      </c>
      <c r="H10" s="6">
        <f t="shared" si="2"/>
        <v>1445645.0359</v>
      </c>
      <c r="I10" s="6">
        <f t="shared" si="2"/>
        <v>1445645.0359</v>
      </c>
      <c r="J10" s="6">
        <f t="shared" si="2"/>
        <v>1445645.0359</v>
      </c>
      <c r="K10" s="6">
        <f t="shared" si="2"/>
        <v>1445645.0359</v>
      </c>
      <c r="L10" s="6">
        <f t="shared" si="2"/>
        <v>1445645.0359</v>
      </c>
      <c r="M10" s="6">
        <f t="shared" si="2"/>
        <v>1445645.0359</v>
      </c>
      <c r="N10" s="6">
        <f t="shared" si="2"/>
        <v>1445645.0359</v>
      </c>
      <c r="O10" s="6">
        <f t="shared" si="2"/>
        <v>1445645.0359</v>
      </c>
      <c r="P10" s="6">
        <f t="shared" si="2"/>
        <v>1445645.0359</v>
      </c>
      <c r="Q10" s="6">
        <f t="shared" si="2"/>
        <v>1445645.0359</v>
      </c>
      <c r="R10" s="6">
        <f t="shared" si="2"/>
        <v>1445645.0359</v>
      </c>
      <c r="S10" s="6">
        <f t="shared" si="2"/>
        <v>1445645.0359</v>
      </c>
      <c r="T10" s="6">
        <f t="shared" si="2"/>
        <v>1445645.0359</v>
      </c>
      <c r="U10" s="6">
        <f t="shared" si="2"/>
        <v>1445645.0359</v>
      </c>
      <c r="V10" s="6">
        <f t="shared" si="2"/>
        <v>1445645.0359</v>
      </c>
      <c r="W10" s="6">
        <f t="shared" si="2"/>
        <v>1445645.0359</v>
      </c>
      <c r="X10" s="6">
        <f t="shared" si="2"/>
        <v>1445645.0359</v>
      </c>
      <c r="Y10" s="6">
        <f t="shared" si="2"/>
        <v>1445645.0359</v>
      </c>
      <c r="Z10" s="6">
        <f t="shared" si="2"/>
        <v>1445645.0359</v>
      </c>
      <c r="AA10" s="6">
        <f t="shared" si="2"/>
        <v>1445645.0359</v>
      </c>
      <c r="AB10" s="6">
        <f t="shared" si="2"/>
        <v>1445645.0359</v>
      </c>
      <c r="AC10" s="6">
        <f t="shared" si="2"/>
        <v>1445645.0359</v>
      </c>
      <c r="AD10" s="6">
        <f t="shared" si="2"/>
        <v>1445645.0359</v>
      </c>
      <c r="AE10" s="6">
        <f t="shared" si="2"/>
        <v>1445645.0359</v>
      </c>
      <c r="AF10" s="6">
        <f t="shared" si="2"/>
        <v>1445645.0359</v>
      </c>
      <c r="AG10" s="6">
        <f t="shared" si="2"/>
        <v>1445645.0359</v>
      </c>
      <c r="AH10" s="6">
        <f t="shared" si="2"/>
        <v>1445645.0359</v>
      </c>
    </row>
    <row r="11" spans="2:34" s="2" customFormat="1" ht="12" x14ac:dyDescent="0.2"/>
    <row r="12" spans="2:34" s="10" customFormat="1" ht="12" x14ac:dyDescent="0.2">
      <c r="B12" s="9" t="s">
        <v>39</v>
      </c>
    </row>
    <row r="13" spans="2:34" s="2" customFormat="1" ht="12" x14ac:dyDescent="0.2">
      <c r="C13" s="2" t="s">
        <v>40</v>
      </c>
    </row>
    <row r="14" spans="2:34" s="2" customFormat="1" ht="12" x14ac:dyDescent="0.2"/>
    <row r="15" spans="2:34" s="2" customFormat="1" ht="12" x14ac:dyDescent="0.2">
      <c r="B15" s="11"/>
      <c r="C15" s="12">
        <v>1</v>
      </c>
      <c r="D15" s="11" t="s">
        <v>41</v>
      </c>
      <c r="E15" s="13" t="s">
        <v>42</v>
      </c>
      <c r="F15" s="14">
        <f t="shared" ref="F15:AH15" si="3">F3/F4</f>
        <v>1.0919540234512604</v>
      </c>
      <c r="G15" s="14">
        <f t="shared" si="3"/>
        <v>1.0917677987027625</v>
      </c>
      <c r="H15" s="14">
        <f t="shared" si="3"/>
        <v>1.0914524759242417</v>
      </c>
      <c r="I15" s="14">
        <f t="shared" si="3"/>
        <v>1.0910037762129488</v>
      </c>
      <c r="J15" s="14">
        <f t="shared" si="3"/>
        <v>1.0904079347141189</v>
      </c>
      <c r="K15" s="14">
        <f t="shared" si="3"/>
        <v>1.0896551258955687</v>
      </c>
      <c r="L15" s="14">
        <f t="shared" si="3"/>
        <v>1.0887350773289561</v>
      </c>
      <c r="M15" s="14">
        <f t="shared" si="3"/>
        <v>1.0876434211429333</v>
      </c>
      <c r="N15" s="14">
        <f t="shared" si="3"/>
        <v>1.0863630543063647</v>
      </c>
      <c r="O15" s="14">
        <f t="shared" si="3"/>
        <v>1.0848823381181536</v>
      </c>
      <c r="P15" s="14">
        <f t="shared" si="3"/>
        <v>1.0831891601717254</v>
      </c>
      <c r="Q15" s="14">
        <f t="shared" si="3"/>
        <v>1.081276858162924</v>
      </c>
      <c r="R15" s="14">
        <f t="shared" si="3"/>
        <v>1.0791268392184603</v>
      </c>
      <c r="S15" s="14">
        <f t="shared" si="3"/>
        <v>1.0767255616604501</v>
      </c>
      <c r="T15" s="14">
        <f t="shared" si="3"/>
        <v>1.0740589935806444</v>
      </c>
      <c r="U15" s="14">
        <f t="shared" si="3"/>
        <v>1.0711256509963749</v>
      </c>
      <c r="V15" s="14">
        <f t="shared" si="3"/>
        <v>1.0678983301257043</v>
      </c>
      <c r="W15" s="14">
        <f t="shared" si="3"/>
        <v>1.0643615050633075</v>
      </c>
      <c r="X15" s="14">
        <f t="shared" si="3"/>
        <v>1.0604990962294685</v>
      </c>
      <c r="Y15" s="14">
        <f t="shared" si="3"/>
        <v>1.056315175365039</v>
      </c>
      <c r="Z15" s="14">
        <f t="shared" si="3"/>
        <v>1.0517729755487781</v>
      </c>
      <c r="AA15" s="14">
        <f t="shared" si="3"/>
        <v>1.0468543460271684</v>
      </c>
      <c r="AB15" s="14">
        <f t="shared" si="3"/>
        <v>1.0415400557718675</v>
      </c>
      <c r="AC15" s="14">
        <f t="shared" si="3"/>
        <v>1.0358485420128258</v>
      </c>
      <c r="AD15" s="14">
        <f t="shared" si="3"/>
        <v>1.0297200533184769</v>
      </c>
      <c r="AE15" s="14">
        <f t="shared" si="3"/>
        <v>1.0231275177388586</v>
      </c>
      <c r="AF15" s="14">
        <f t="shared" si="3"/>
        <v>1.0160356663219026</v>
      </c>
      <c r="AG15" s="14">
        <f t="shared" si="3"/>
        <v>1.0084781033986465</v>
      </c>
      <c r="AH15" s="14">
        <f t="shared" si="3"/>
        <v>1.0002363405834052</v>
      </c>
    </row>
    <row r="16" spans="2:34" s="2" customFormat="1" ht="13.5" x14ac:dyDescent="0.2">
      <c r="B16" s="11"/>
      <c r="C16" s="12">
        <v>2</v>
      </c>
      <c r="D16" s="15" t="s">
        <v>43</v>
      </c>
      <c r="E16" s="11"/>
      <c r="F16" s="14">
        <f t="shared" ref="F16:AH16" si="4">F6-F5</f>
        <v>2557</v>
      </c>
      <c r="G16" s="14">
        <f t="shared" si="4"/>
        <v>2465</v>
      </c>
      <c r="H16" s="14">
        <f t="shared" si="4"/>
        <v>2376</v>
      </c>
      <c r="I16" s="14">
        <f t="shared" si="4"/>
        <v>2284</v>
      </c>
      <c r="J16" s="14">
        <f t="shared" si="4"/>
        <v>2192</v>
      </c>
      <c r="K16" s="14">
        <f t="shared" si="4"/>
        <v>2100</v>
      </c>
      <c r="L16" s="14">
        <f t="shared" si="4"/>
        <v>2011</v>
      </c>
      <c r="M16" s="14">
        <f t="shared" si="4"/>
        <v>1919</v>
      </c>
      <c r="N16" s="14">
        <f t="shared" si="4"/>
        <v>1827</v>
      </c>
      <c r="O16" s="14">
        <f t="shared" si="4"/>
        <v>1735</v>
      </c>
      <c r="P16" s="14">
        <f t="shared" si="4"/>
        <v>1645</v>
      </c>
      <c r="Q16" s="14">
        <f t="shared" si="4"/>
        <v>1553</v>
      </c>
      <c r="R16" s="14">
        <f t="shared" si="4"/>
        <v>1461</v>
      </c>
      <c r="S16" s="14">
        <f t="shared" si="4"/>
        <v>1369</v>
      </c>
      <c r="T16" s="14">
        <f t="shared" si="4"/>
        <v>1280</v>
      </c>
      <c r="U16" s="14">
        <f t="shared" si="4"/>
        <v>1188</v>
      </c>
      <c r="V16" s="14">
        <f t="shared" si="4"/>
        <v>1096</v>
      </c>
      <c r="W16" s="14">
        <f t="shared" si="4"/>
        <v>1004</v>
      </c>
      <c r="X16" s="14">
        <f t="shared" si="4"/>
        <v>915</v>
      </c>
      <c r="Y16" s="14">
        <f t="shared" si="4"/>
        <v>823</v>
      </c>
      <c r="Z16" s="14">
        <f t="shared" si="4"/>
        <v>731</v>
      </c>
      <c r="AA16" s="14">
        <f t="shared" si="4"/>
        <v>639</v>
      </c>
      <c r="AB16" s="14">
        <f t="shared" si="4"/>
        <v>550</v>
      </c>
      <c r="AC16" s="14">
        <f t="shared" si="4"/>
        <v>458</v>
      </c>
      <c r="AD16" s="14">
        <f t="shared" si="4"/>
        <v>366</v>
      </c>
      <c r="AE16" s="14">
        <f t="shared" si="4"/>
        <v>274</v>
      </c>
      <c r="AF16" s="14">
        <f t="shared" si="4"/>
        <v>184</v>
      </c>
      <c r="AG16" s="14">
        <f t="shared" si="4"/>
        <v>92</v>
      </c>
      <c r="AH16" s="14">
        <f t="shared" si="4"/>
        <v>0</v>
      </c>
    </row>
    <row r="17" spans="2:34" s="2" customFormat="1" ht="13.5" x14ac:dyDescent="0.2">
      <c r="B17" s="11"/>
      <c r="C17" s="12">
        <v>3</v>
      </c>
      <c r="D17" s="15" t="s">
        <v>44</v>
      </c>
      <c r="E17" s="11"/>
      <c r="F17" s="16">
        <f t="shared" ref="F17:AH17" si="5">F16/365</f>
        <v>7.0054794520547947</v>
      </c>
      <c r="G17" s="16">
        <f t="shared" si="5"/>
        <v>6.7534246575342465</v>
      </c>
      <c r="H17" s="16">
        <f t="shared" si="5"/>
        <v>6.5095890410958903</v>
      </c>
      <c r="I17" s="16">
        <f t="shared" si="5"/>
        <v>6.2575342465753421</v>
      </c>
      <c r="J17" s="16">
        <f t="shared" si="5"/>
        <v>6.0054794520547947</v>
      </c>
      <c r="K17" s="16">
        <f t="shared" si="5"/>
        <v>5.7534246575342465</v>
      </c>
      <c r="L17" s="16">
        <f t="shared" si="5"/>
        <v>5.5095890410958903</v>
      </c>
      <c r="M17" s="16">
        <f t="shared" si="5"/>
        <v>5.2575342465753421</v>
      </c>
      <c r="N17" s="16">
        <f t="shared" si="5"/>
        <v>5.0054794520547947</v>
      </c>
      <c r="O17" s="16">
        <f t="shared" si="5"/>
        <v>4.7534246575342465</v>
      </c>
      <c r="P17" s="16">
        <f t="shared" si="5"/>
        <v>4.506849315068493</v>
      </c>
      <c r="Q17" s="16">
        <f t="shared" si="5"/>
        <v>4.2547945205479456</v>
      </c>
      <c r="R17" s="16">
        <f t="shared" si="5"/>
        <v>4.0027397260273974</v>
      </c>
      <c r="S17" s="16">
        <f t="shared" si="5"/>
        <v>3.7506849315068491</v>
      </c>
      <c r="T17" s="16">
        <f t="shared" si="5"/>
        <v>3.506849315068493</v>
      </c>
      <c r="U17" s="16">
        <f t="shared" si="5"/>
        <v>3.2547945205479452</v>
      </c>
      <c r="V17" s="16">
        <f t="shared" si="5"/>
        <v>3.0027397260273974</v>
      </c>
      <c r="W17" s="16">
        <f t="shared" si="5"/>
        <v>2.7506849315068491</v>
      </c>
      <c r="X17" s="16">
        <f t="shared" si="5"/>
        <v>2.506849315068493</v>
      </c>
      <c r="Y17" s="16">
        <f t="shared" si="5"/>
        <v>2.2547945205479452</v>
      </c>
      <c r="Z17" s="16">
        <f t="shared" si="5"/>
        <v>2.0027397260273974</v>
      </c>
      <c r="AA17" s="16">
        <f t="shared" si="5"/>
        <v>1.7506849315068493</v>
      </c>
      <c r="AB17" s="16">
        <f t="shared" si="5"/>
        <v>1.5068493150684932</v>
      </c>
      <c r="AC17" s="16">
        <f t="shared" si="5"/>
        <v>1.2547945205479452</v>
      </c>
      <c r="AD17" s="16">
        <f t="shared" si="5"/>
        <v>1.0027397260273974</v>
      </c>
      <c r="AE17" s="16">
        <f t="shared" si="5"/>
        <v>0.75068493150684934</v>
      </c>
      <c r="AF17" s="16">
        <f t="shared" si="5"/>
        <v>0.50410958904109593</v>
      </c>
      <c r="AG17" s="16">
        <f t="shared" si="5"/>
        <v>0.25205479452054796</v>
      </c>
      <c r="AH17" s="16">
        <f t="shared" si="5"/>
        <v>0</v>
      </c>
    </row>
    <row r="18" spans="2:34" s="2" customFormat="1" ht="13.5" x14ac:dyDescent="0.2">
      <c r="B18" s="11"/>
      <c r="C18" s="12">
        <v>4</v>
      </c>
      <c r="D18" s="15" t="s">
        <v>45</v>
      </c>
      <c r="E18" s="13" t="s">
        <v>46</v>
      </c>
      <c r="F18" s="14">
        <f t="shared" ref="F18:AH18" si="6">1/F17</f>
        <v>0.14274540477121628</v>
      </c>
      <c r="G18" s="14">
        <f t="shared" si="6"/>
        <v>0.14807302231237324</v>
      </c>
      <c r="H18" s="14">
        <f t="shared" si="6"/>
        <v>0.15361952861952863</v>
      </c>
      <c r="I18" s="14">
        <f t="shared" si="6"/>
        <v>0.15980735551663749</v>
      </c>
      <c r="J18" s="14">
        <f t="shared" si="6"/>
        <v>0.16651459854014597</v>
      </c>
      <c r="K18" s="14">
        <f t="shared" si="6"/>
        <v>0.1738095238095238</v>
      </c>
      <c r="L18" s="14">
        <f t="shared" si="6"/>
        <v>0.18150174042764794</v>
      </c>
      <c r="M18" s="14">
        <f t="shared" si="6"/>
        <v>0.19020323084940075</v>
      </c>
      <c r="N18" s="14">
        <f t="shared" si="6"/>
        <v>0.19978106185002736</v>
      </c>
      <c r="O18" s="14">
        <f t="shared" si="6"/>
        <v>0.21037463976945245</v>
      </c>
      <c r="P18" s="14">
        <f t="shared" si="6"/>
        <v>0.22188449848024316</v>
      </c>
      <c r="Q18" s="14">
        <f t="shared" si="6"/>
        <v>0.23502897617514487</v>
      </c>
      <c r="R18" s="14">
        <f t="shared" si="6"/>
        <v>0.24982888432580425</v>
      </c>
      <c r="S18" s="14">
        <f t="shared" si="6"/>
        <v>0.26661796932067205</v>
      </c>
      <c r="T18" s="14">
        <f t="shared" si="6"/>
        <v>0.28515625</v>
      </c>
      <c r="U18" s="14">
        <f t="shared" si="6"/>
        <v>0.30723905723905726</v>
      </c>
      <c r="V18" s="14">
        <f t="shared" si="6"/>
        <v>0.33302919708029194</v>
      </c>
      <c r="W18" s="14">
        <f t="shared" si="6"/>
        <v>0.36354581673306774</v>
      </c>
      <c r="X18" s="14">
        <f t="shared" si="6"/>
        <v>0.39890710382513667</v>
      </c>
      <c r="Y18" s="14">
        <f t="shared" si="6"/>
        <v>0.44349939246658565</v>
      </c>
      <c r="Z18" s="14">
        <f t="shared" si="6"/>
        <v>0.4993160054719562</v>
      </c>
      <c r="AA18" s="14">
        <f t="shared" si="6"/>
        <v>0.57120500782472616</v>
      </c>
      <c r="AB18" s="14">
        <f t="shared" si="6"/>
        <v>0.66363636363636358</v>
      </c>
      <c r="AC18" s="14">
        <f t="shared" si="6"/>
        <v>0.79694323144104806</v>
      </c>
      <c r="AD18" s="14">
        <f t="shared" si="6"/>
        <v>0.99726775956284142</v>
      </c>
      <c r="AE18" s="14">
        <f t="shared" si="6"/>
        <v>1.3321167883211678</v>
      </c>
      <c r="AF18" s="14">
        <f t="shared" si="6"/>
        <v>1.9836956521739129</v>
      </c>
      <c r="AG18" s="14">
        <f t="shared" si="6"/>
        <v>3.9673913043478257</v>
      </c>
      <c r="AH18" s="14" t="e">
        <f t="shared" si="6"/>
        <v>#DIV/0!</v>
      </c>
    </row>
    <row r="19" spans="2:34" s="2" customFormat="1" ht="14.25" x14ac:dyDescent="0.2">
      <c r="B19" s="11"/>
      <c r="C19" s="12">
        <v>5</v>
      </c>
      <c r="D19" s="15" t="s">
        <v>47</v>
      </c>
      <c r="E19" s="13" t="s">
        <v>48</v>
      </c>
      <c r="F19" s="14">
        <f t="shared" ref="F19:AH19" si="7">F15^F18</f>
        <v>1.0126363100650753</v>
      </c>
      <c r="G19" s="14">
        <f t="shared" si="7"/>
        <v>1.0130854217409162</v>
      </c>
      <c r="H19" s="14">
        <f t="shared" si="7"/>
        <v>1.0135339113595772</v>
      </c>
      <c r="I19" s="14">
        <f t="shared" si="7"/>
        <v>1.0140162471915872</v>
      </c>
      <c r="J19" s="14">
        <f t="shared" si="7"/>
        <v>1.0145165070406781</v>
      </c>
      <c r="K19" s="14">
        <f t="shared" si="7"/>
        <v>1.0150354140897537</v>
      </c>
      <c r="L19" s="14">
        <f t="shared" si="7"/>
        <v>1.015550317701464</v>
      </c>
      <c r="M19" s="14">
        <f t="shared" si="7"/>
        <v>1.0161079686810577</v>
      </c>
      <c r="N19" s="14">
        <f t="shared" si="7"/>
        <v>1.0166866506288827</v>
      </c>
      <c r="O19" s="14">
        <f t="shared" si="7"/>
        <v>1.0172872700211419</v>
      </c>
      <c r="P19" s="14">
        <f t="shared" si="7"/>
        <v>1.017888827154545</v>
      </c>
      <c r="Q19" s="14">
        <f t="shared" si="7"/>
        <v>1.0185354678686018</v>
      </c>
      <c r="R19" s="14">
        <f t="shared" si="7"/>
        <v>1.0192071561411964</v>
      </c>
      <c r="S19" s="14">
        <f t="shared" si="7"/>
        <v>1.0199051297806381</v>
      </c>
      <c r="T19" s="14">
        <f t="shared" si="7"/>
        <v>1.020581911859759</v>
      </c>
      <c r="U19" s="14">
        <f t="shared" si="7"/>
        <v>1.0213348294969773</v>
      </c>
      <c r="V19" s="14">
        <f t="shared" si="7"/>
        <v>1.0221186017037429</v>
      </c>
      <c r="W19" s="14">
        <f t="shared" si="7"/>
        <v>1.0229352639295437</v>
      </c>
      <c r="X19" s="14">
        <f t="shared" si="7"/>
        <v>1.0237083389402786</v>
      </c>
      <c r="Y19" s="14">
        <f t="shared" si="7"/>
        <v>1.0245954224053322</v>
      </c>
      <c r="Z19" s="14">
        <f t="shared" si="7"/>
        <v>1.0255244271255526</v>
      </c>
      <c r="AA19" s="14">
        <f t="shared" si="7"/>
        <v>1.0265004202487502</v>
      </c>
      <c r="AB19" s="14">
        <f t="shared" si="7"/>
        <v>1.0273783769467819</v>
      </c>
      <c r="AC19" s="14">
        <f t="shared" si="7"/>
        <v>1.0284667369738003</v>
      </c>
      <c r="AD19" s="14">
        <f t="shared" si="7"/>
        <v>1.0296376593943362</v>
      </c>
      <c r="AE19" s="14">
        <f t="shared" si="7"/>
        <v>1.0309262720649133</v>
      </c>
      <c r="AF19" s="14">
        <f t="shared" si="7"/>
        <v>1.0320607477452779</v>
      </c>
      <c r="AG19" s="14">
        <f t="shared" si="7"/>
        <v>1.0340614150916632</v>
      </c>
      <c r="AH19" s="14" t="e">
        <f t="shared" si="7"/>
        <v>#DIV/0!</v>
      </c>
    </row>
    <row r="20" spans="2:34" s="2" customFormat="1" ht="13.5" x14ac:dyDescent="0.2">
      <c r="B20" s="11"/>
      <c r="C20" s="12">
        <v>6</v>
      </c>
      <c r="D20" s="11" t="s">
        <v>49</v>
      </c>
      <c r="E20" s="13" t="s">
        <v>50</v>
      </c>
      <c r="F20" s="17">
        <f t="shared" ref="F20:AH20" si="8">F8+F9</f>
        <v>0.13</v>
      </c>
      <c r="G20" s="17">
        <f t="shared" si="8"/>
        <v>0.13</v>
      </c>
      <c r="H20" s="17">
        <f t="shared" si="8"/>
        <v>0.13</v>
      </c>
      <c r="I20" s="17">
        <f t="shared" si="8"/>
        <v>0.13</v>
      </c>
      <c r="J20" s="17">
        <f t="shared" si="8"/>
        <v>0.13</v>
      </c>
      <c r="K20" s="17">
        <f t="shared" si="8"/>
        <v>0.13</v>
      </c>
      <c r="L20" s="17">
        <f t="shared" si="8"/>
        <v>0.13</v>
      </c>
      <c r="M20" s="17">
        <f t="shared" si="8"/>
        <v>0.13</v>
      </c>
      <c r="N20" s="17">
        <f t="shared" si="8"/>
        <v>0.13</v>
      </c>
      <c r="O20" s="17">
        <f t="shared" si="8"/>
        <v>0.13</v>
      </c>
      <c r="P20" s="17">
        <f t="shared" si="8"/>
        <v>0.13</v>
      </c>
      <c r="Q20" s="17">
        <f t="shared" si="8"/>
        <v>0.13</v>
      </c>
      <c r="R20" s="17">
        <f t="shared" si="8"/>
        <v>0.13</v>
      </c>
      <c r="S20" s="17">
        <f t="shared" si="8"/>
        <v>0.13</v>
      </c>
      <c r="T20" s="17">
        <f t="shared" si="8"/>
        <v>0.13</v>
      </c>
      <c r="U20" s="17">
        <f t="shared" si="8"/>
        <v>0.13</v>
      </c>
      <c r="V20" s="17">
        <f t="shared" si="8"/>
        <v>0.13</v>
      </c>
      <c r="W20" s="17">
        <f t="shared" si="8"/>
        <v>0.13</v>
      </c>
      <c r="X20" s="17">
        <f t="shared" si="8"/>
        <v>0.13</v>
      </c>
      <c r="Y20" s="17">
        <f t="shared" si="8"/>
        <v>0.13</v>
      </c>
      <c r="Z20" s="17">
        <f t="shared" si="8"/>
        <v>0.13</v>
      </c>
      <c r="AA20" s="17">
        <f t="shared" si="8"/>
        <v>0.13</v>
      </c>
      <c r="AB20" s="17">
        <f t="shared" si="8"/>
        <v>0.13</v>
      </c>
      <c r="AC20" s="17">
        <f t="shared" si="8"/>
        <v>0.13</v>
      </c>
      <c r="AD20" s="17">
        <f t="shared" si="8"/>
        <v>0.13</v>
      </c>
      <c r="AE20" s="17">
        <f t="shared" si="8"/>
        <v>0.13</v>
      </c>
      <c r="AF20" s="17">
        <f t="shared" si="8"/>
        <v>0.13</v>
      </c>
      <c r="AG20" s="17">
        <f t="shared" si="8"/>
        <v>0.13</v>
      </c>
      <c r="AH20" s="17">
        <f t="shared" si="8"/>
        <v>0.13</v>
      </c>
    </row>
    <row r="21" spans="2:34" s="2" customFormat="1" ht="12" x14ac:dyDescent="0.2">
      <c r="B21" s="11"/>
      <c r="C21" s="12">
        <v>7</v>
      </c>
      <c r="D21" s="15" t="s">
        <v>51</v>
      </c>
      <c r="E21" s="18" t="s">
        <v>52</v>
      </c>
      <c r="F21" s="60">
        <f t="shared" ref="F21:AH21" si="9">F19-1+F20</f>
        <v>0.14263631006507527</v>
      </c>
      <c r="G21" s="19">
        <f t="shared" si="9"/>
        <v>0.14308542174091621</v>
      </c>
      <c r="H21" s="19">
        <f t="shared" si="9"/>
        <v>0.14353391135957716</v>
      </c>
      <c r="I21" s="19">
        <f t="shared" si="9"/>
        <v>0.14401624719158723</v>
      </c>
      <c r="J21" s="19">
        <f t="shared" si="9"/>
        <v>0.14451650704067809</v>
      </c>
      <c r="K21" s="19">
        <f t="shared" si="9"/>
        <v>0.14503541408975373</v>
      </c>
      <c r="L21" s="19">
        <f t="shared" si="9"/>
        <v>0.14555031770146398</v>
      </c>
      <c r="M21" s="19">
        <f t="shared" si="9"/>
        <v>0.14610796868105769</v>
      </c>
      <c r="N21" s="19">
        <f t="shared" si="9"/>
        <v>0.14668665062888275</v>
      </c>
      <c r="O21" s="19">
        <f t="shared" si="9"/>
        <v>0.14728727002114195</v>
      </c>
      <c r="P21" s="19">
        <f t="shared" si="9"/>
        <v>0.14788882715454499</v>
      </c>
      <c r="Q21" s="19">
        <f t="shared" si="9"/>
        <v>0.14853546786860183</v>
      </c>
      <c r="R21" s="19">
        <f t="shared" si="9"/>
        <v>0.1492071561411964</v>
      </c>
      <c r="S21" s="19">
        <f t="shared" si="9"/>
        <v>0.14990512978063808</v>
      </c>
      <c r="T21" s="19">
        <f t="shared" si="9"/>
        <v>0.150581911859759</v>
      </c>
      <c r="U21" s="19">
        <f t="shared" si="9"/>
        <v>0.1513348294969773</v>
      </c>
      <c r="V21" s="19">
        <f t="shared" si="9"/>
        <v>0.15211860170374292</v>
      </c>
      <c r="W21" s="19">
        <f t="shared" si="9"/>
        <v>0.15293526392954371</v>
      </c>
      <c r="X21" s="19">
        <f t="shared" si="9"/>
        <v>0.15370833894027858</v>
      </c>
      <c r="Y21" s="19">
        <f t="shared" si="9"/>
        <v>0.15459542240533219</v>
      </c>
      <c r="Z21" s="19">
        <f t="shared" si="9"/>
        <v>0.15552442712555259</v>
      </c>
      <c r="AA21" s="19">
        <f t="shared" si="9"/>
        <v>0.15650042024875022</v>
      </c>
      <c r="AB21" s="19">
        <f t="shared" si="9"/>
        <v>0.15737837694678192</v>
      </c>
      <c r="AC21" s="19">
        <f t="shared" si="9"/>
        <v>0.15846673697380032</v>
      </c>
      <c r="AD21" s="19">
        <f t="shared" si="9"/>
        <v>0.15963765939433616</v>
      </c>
      <c r="AE21" s="19">
        <f t="shared" si="9"/>
        <v>0.16092627206491328</v>
      </c>
      <c r="AF21" s="19">
        <f t="shared" si="9"/>
        <v>0.1620607477452779</v>
      </c>
      <c r="AG21" s="19">
        <f t="shared" si="9"/>
        <v>0.16406141509166317</v>
      </c>
      <c r="AH21" s="19" t="e">
        <f t="shared" si="9"/>
        <v>#DIV/0!</v>
      </c>
    </row>
    <row r="22" spans="2:34" s="2" customFormat="1" x14ac:dyDescent="0.25">
      <c r="B22" s="11"/>
      <c r="C22" s="11" t="s">
        <v>92</v>
      </c>
      <c r="D22" s="11"/>
      <c r="E22" s="11"/>
      <c r="F22" s="63">
        <v>0.14264099999999999</v>
      </c>
      <c r="G22" s="63">
        <v>0.14308599999999999</v>
      </c>
      <c r="H22" s="63">
        <v>0.14354800000000001</v>
      </c>
      <c r="I22" s="63">
        <v>0.14402599999999999</v>
      </c>
      <c r="J22" s="63">
        <v>0.14452200000000001</v>
      </c>
      <c r="K22" s="63">
        <v>0.145035</v>
      </c>
      <c r="L22" s="63">
        <v>0.145568</v>
      </c>
      <c r="M22" s="63">
        <v>0.14612</v>
      </c>
      <c r="N22" s="63">
        <v>0.14669199999999999</v>
      </c>
      <c r="O22" s="63">
        <v>0.147285</v>
      </c>
      <c r="P22" s="63">
        <v>0.147901</v>
      </c>
      <c r="Q22" s="63">
        <v>0.148539</v>
      </c>
      <c r="R22" s="63">
        <v>0.149201</v>
      </c>
      <c r="S22" s="63">
        <v>0.14988699999999999</v>
      </c>
      <c r="T22" s="63">
        <v>0.15060000000000001</v>
      </c>
      <c r="U22" s="63">
        <v>0.15134</v>
      </c>
      <c r="V22" s="63">
        <v>0.15210899999999999</v>
      </c>
      <c r="W22" s="63">
        <v>0.15290799999999999</v>
      </c>
      <c r="X22" s="63">
        <v>0.15373899999999999</v>
      </c>
      <c r="Y22" s="63">
        <v>0.15460399999999999</v>
      </c>
      <c r="Z22" s="63">
        <v>0.15550700000000001</v>
      </c>
      <c r="AA22" s="63">
        <v>0.15645100000000001</v>
      </c>
      <c r="AB22" s="63">
        <v>0.157441</v>
      </c>
      <c r="AC22" s="63">
        <v>0.15848499999999999</v>
      </c>
      <c r="AD22" s="63">
        <v>0.15959499999999999</v>
      </c>
      <c r="AE22" s="63">
        <v>0.160797</v>
      </c>
      <c r="AF22" s="63">
        <v>0.16214799999999999</v>
      </c>
      <c r="AG22" s="63">
        <v>0.16387499999999999</v>
      </c>
    </row>
    <row r="23" spans="2:34" x14ac:dyDescent="0.25">
      <c r="C23" t="s">
        <v>93</v>
      </c>
      <c r="F23" s="62">
        <f>F21-F22</f>
        <v>-4.6899349247231381E-6</v>
      </c>
      <c r="G23" s="62">
        <f>G21-G22</f>
        <v>-5.782590837832835E-7</v>
      </c>
      <c r="H23" s="62">
        <f>H21-H22</f>
        <v>-1.4088640422849075E-5</v>
      </c>
      <c r="I23" s="62">
        <f>I21-I22</f>
        <v>-9.7528084127551651E-6</v>
      </c>
      <c r="J23" s="62">
        <f>J21-J22</f>
        <v>-5.4929593219232853E-6</v>
      </c>
      <c r="K23" s="62">
        <f t="shared" ref="K23:AG23" si="10">K21-K22</f>
        <v>4.1408975373635748E-7</v>
      </c>
      <c r="L23" s="62">
        <f t="shared" si="10"/>
        <v>-1.7682298536020324E-5</v>
      </c>
      <c r="M23" s="62">
        <f t="shared" si="10"/>
        <v>-1.2031318942312685E-5</v>
      </c>
      <c r="N23" s="62">
        <f t="shared" si="10"/>
        <v>-5.3493711172358793E-6</v>
      </c>
      <c r="O23" s="62">
        <f t="shared" si="10"/>
        <v>2.2700211419479643E-6</v>
      </c>
      <c r="P23" s="62">
        <f t="shared" si="10"/>
        <v>-1.217284545501629E-5</v>
      </c>
      <c r="Q23" s="62">
        <f t="shared" si="10"/>
        <v>-3.532131398170657E-6</v>
      </c>
      <c r="R23" s="62">
        <f t="shared" si="10"/>
        <v>6.1561411963950707E-6</v>
      </c>
      <c r="S23" s="62">
        <f t="shared" si="10"/>
        <v>1.8129780638087567E-5</v>
      </c>
      <c r="T23" s="62">
        <f t="shared" si="10"/>
        <v>-1.8088140241012685E-5</v>
      </c>
      <c r="U23" s="62">
        <f t="shared" si="10"/>
        <v>-5.1705030227056081E-6</v>
      </c>
      <c r="V23" s="62">
        <f t="shared" si="10"/>
        <v>9.6017037429230179E-6</v>
      </c>
      <c r="W23" s="62">
        <f t="shared" si="10"/>
        <v>2.7263929543719367E-5</v>
      </c>
      <c r="X23" s="62">
        <f t="shared" si="10"/>
        <v>-3.0661059721409645E-5</v>
      </c>
      <c r="Y23" s="62">
        <f t="shared" si="10"/>
        <v>-8.5775946677968395E-6</v>
      </c>
      <c r="Z23" s="62">
        <f t="shared" si="10"/>
        <v>1.7427125552582634E-5</v>
      </c>
      <c r="AA23" s="62">
        <f t="shared" si="10"/>
        <v>4.9420248750209339E-5</v>
      </c>
      <c r="AB23" s="62">
        <f t="shared" si="10"/>
        <v>-6.2623053218080482E-5</v>
      </c>
      <c r="AC23" s="62">
        <f t="shared" si="10"/>
        <v>-1.8263026199671906E-5</v>
      </c>
      <c r="AD23" s="62">
        <f t="shared" si="10"/>
        <v>4.2659394336175271E-5</v>
      </c>
      <c r="AE23" s="62">
        <f t="shared" si="10"/>
        <v>1.292720649132828E-4</v>
      </c>
      <c r="AF23" s="62">
        <f t="shared" si="10"/>
        <v>-8.7252254722086642E-5</v>
      </c>
      <c r="AG23" s="62">
        <f t="shared" si="10"/>
        <v>1.8641509166317238E-4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topLeftCell="A10" workbookViewId="0">
      <selection activeCell="F29" sqref="F29"/>
    </sheetView>
  </sheetViews>
  <sheetFormatPr defaultRowHeight="12" x14ac:dyDescent="0.2"/>
  <cols>
    <col min="1" max="1" width="9.140625" style="2"/>
    <col min="2" max="2" width="2.7109375" style="2" customWidth="1"/>
    <col min="3" max="3" width="4.7109375" style="2" customWidth="1"/>
    <col min="4" max="4" width="17.42578125" style="2" customWidth="1"/>
    <col min="5" max="5" width="17.85546875" style="2" customWidth="1"/>
    <col min="6" max="6" width="13.7109375" style="2" customWidth="1"/>
    <col min="7" max="7" width="9.140625" style="2"/>
    <col min="8" max="8" width="18" style="2" customWidth="1"/>
    <col min="9" max="9" width="9.140625" style="2"/>
    <col min="10" max="10" width="13.7109375" style="2" customWidth="1"/>
    <col min="11" max="16384" width="9.140625" style="2"/>
  </cols>
  <sheetData>
    <row r="1" spans="1:4" x14ac:dyDescent="0.2">
      <c r="A1" s="1" t="s">
        <v>0</v>
      </c>
    </row>
    <row r="2" spans="1:4" x14ac:dyDescent="0.2">
      <c r="B2" s="1" t="s">
        <v>1</v>
      </c>
    </row>
    <row r="4" spans="1:4" x14ac:dyDescent="0.2">
      <c r="B4" s="2" t="s">
        <v>2</v>
      </c>
    </row>
    <row r="5" spans="1:4" x14ac:dyDescent="0.2">
      <c r="B5" s="2" t="s">
        <v>3</v>
      </c>
    </row>
    <row r="6" spans="1:4" x14ac:dyDescent="0.2">
      <c r="D6" s="1" t="s">
        <v>4</v>
      </c>
    </row>
    <row r="7" spans="1:4" x14ac:dyDescent="0.2">
      <c r="C7" s="2" t="s">
        <v>5</v>
      </c>
    </row>
    <row r="8" spans="1:4" x14ac:dyDescent="0.2">
      <c r="C8" s="2" t="s">
        <v>6</v>
      </c>
    </row>
    <row r="9" spans="1:4" x14ac:dyDescent="0.2">
      <c r="D9" s="2" t="s">
        <v>7</v>
      </c>
    </row>
    <row r="10" spans="1:4" x14ac:dyDescent="0.2">
      <c r="D10" s="2" t="s">
        <v>8</v>
      </c>
    </row>
    <row r="11" spans="1:4" x14ac:dyDescent="0.2">
      <c r="D11" s="2" t="s">
        <v>9</v>
      </c>
    </row>
    <row r="12" spans="1:4" x14ac:dyDescent="0.2">
      <c r="D12" s="2" t="s">
        <v>10</v>
      </c>
    </row>
    <row r="13" spans="1:4" x14ac:dyDescent="0.2">
      <c r="B13" s="2" t="s">
        <v>11</v>
      </c>
    </row>
    <row r="14" spans="1:4" x14ac:dyDescent="0.2">
      <c r="C14" s="2" t="s">
        <v>12</v>
      </c>
    </row>
    <row r="15" spans="1:4" x14ac:dyDescent="0.2">
      <c r="C15" s="2" t="s">
        <v>13</v>
      </c>
    </row>
    <row r="16" spans="1:4" x14ac:dyDescent="0.2">
      <c r="C16" s="2" t="s">
        <v>14</v>
      </c>
    </row>
    <row r="17" spans="2:13" x14ac:dyDescent="0.2">
      <c r="B17" s="2" t="s">
        <v>15</v>
      </c>
    </row>
    <row r="20" spans="2:13" x14ac:dyDescent="0.2">
      <c r="B20" s="1" t="s">
        <v>16</v>
      </c>
      <c r="F20" s="3" t="s">
        <v>87</v>
      </c>
      <c r="H20" s="3" t="s">
        <v>88</v>
      </c>
      <c r="J20" s="3" t="s">
        <v>89</v>
      </c>
    </row>
    <row r="22" spans="2:13" ht="12.75" x14ac:dyDescent="0.2">
      <c r="C22" s="2" t="s">
        <v>17</v>
      </c>
      <c r="E22" s="3" t="s">
        <v>18</v>
      </c>
      <c r="F22" s="30">
        <v>11120346.43</v>
      </c>
      <c r="H22" s="30">
        <v>11120346.43</v>
      </c>
      <c r="J22" s="4">
        <v>10000000</v>
      </c>
      <c r="M22" s="2" t="s">
        <v>19</v>
      </c>
    </row>
    <row r="23" spans="2:13" ht="15" x14ac:dyDescent="0.25">
      <c r="C23" s="2" t="s">
        <v>20</v>
      </c>
      <c r="E23" s="3" t="s">
        <v>21</v>
      </c>
      <c r="F23" s="30">
        <v>10183896.199999999</v>
      </c>
      <c r="H23" s="31">
        <v>10185645.775014</v>
      </c>
      <c r="J23" s="4">
        <v>9000000</v>
      </c>
      <c r="M23" s="2" t="s">
        <v>22</v>
      </c>
    </row>
    <row r="24" spans="2:13" ht="13.5" x14ac:dyDescent="0.25">
      <c r="C24" s="2" t="s">
        <v>23</v>
      </c>
      <c r="E24" s="3" t="s">
        <v>24</v>
      </c>
      <c r="F24" s="5">
        <v>40130</v>
      </c>
      <c r="H24" s="5">
        <v>40222</v>
      </c>
      <c r="J24" s="5">
        <v>41437</v>
      </c>
      <c r="M24" s="2" t="s">
        <v>25</v>
      </c>
    </row>
    <row r="25" spans="2:13" ht="13.5" x14ac:dyDescent="0.25">
      <c r="C25" s="2" t="s">
        <v>26</v>
      </c>
      <c r="E25" s="3" t="s">
        <v>27</v>
      </c>
      <c r="F25" s="5">
        <v>42687</v>
      </c>
      <c r="H25" s="5">
        <v>42687</v>
      </c>
      <c r="J25" s="5">
        <v>45089</v>
      </c>
      <c r="M25" s="2" t="s">
        <v>28</v>
      </c>
    </row>
    <row r="26" spans="2:13" x14ac:dyDescent="0.2">
      <c r="C26" s="2" t="s">
        <v>29</v>
      </c>
      <c r="E26" s="3" t="s">
        <v>30</v>
      </c>
      <c r="F26" s="6">
        <f>(F25-F24)/365</f>
        <v>7.0054794520547947</v>
      </c>
      <c r="H26" s="7">
        <f>(H25-H24)/365</f>
        <v>6.7534246575342465</v>
      </c>
      <c r="J26" s="7">
        <f>(J25-J24)/360</f>
        <v>10.144444444444444</v>
      </c>
    </row>
    <row r="27" spans="2:13" ht="13.5" x14ac:dyDescent="0.25">
      <c r="C27" s="2" t="s">
        <v>31</v>
      </c>
      <c r="E27" s="3" t="s">
        <v>32</v>
      </c>
      <c r="F27" s="8">
        <v>0.13</v>
      </c>
      <c r="H27" s="8">
        <v>0.13</v>
      </c>
      <c r="J27" s="8">
        <v>0.1</v>
      </c>
      <c r="M27" s="2" t="s">
        <v>33</v>
      </c>
    </row>
    <row r="28" spans="2:13" ht="13.5" x14ac:dyDescent="0.25">
      <c r="C28" s="2" t="s">
        <v>34</v>
      </c>
      <c r="E28" s="3" t="s">
        <v>35</v>
      </c>
      <c r="F28" s="8">
        <v>0</v>
      </c>
      <c r="H28" s="8">
        <v>0</v>
      </c>
      <c r="J28" s="58">
        <v>0.05</v>
      </c>
      <c r="M28" s="2" t="s">
        <v>36</v>
      </c>
    </row>
    <row r="29" spans="2:13" x14ac:dyDescent="0.2">
      <c r="C29" s="2" t="s">
        <v>37</v>
      </c>
      <c r="E29" s="3" t="s">
        <v>38</v>
      </c>
      <c r="F29" s="6">
        <f>SUM(F27:F28)*F22</f>
        <v>1445645.0359</v>
      </c>
      <c r="H29" s="6">
        <f>SUM(H27:H28)*H22</f>
        <v>1445645.0359</v>
      </c>
      <c r="J29" s="6">
        <f>SUM(J27:J28)*J22</f>
        <v>1500000.0000000002</v>
      </c>
    </row>
    <row r="31" spans="2:13" s="10" customFormat="1" x14ac:dyDescent="0.2">
      <c r="B31" s="9" t="s">
        <v>39</v>
      </c>
    </row>
    <row r="32" spans="2:13" x14ac:dyDescent="0.2">
      <c r="C32" s="2" t="s">
        <v>40</v>
      </c>
    </row>
    <row r="34" spans="2:10" x14ac:dyDescent="0.2">
      <c r="B34" s="11"/>
      <c r="C34" s="12">
        <v>1</v>
      </c>
      <c r="D34" s="11" t="s">
        <v>41</v>
      </c>
      <c r="E34" s="13" t="s">
        <v>42</v>
      </c>
      <c r="F34" s="14">
        <f>F22/F23</f>
        <v>1.0919540234512604</v>
      </c>
      <c r="H34" s="14">
        <f>H22/H23</f>
        <v>1.0917664599409962</v>
      </c>
      <c r="J34" s="14">
        <f>J22/J23</f>
        <v>1.1111111111111112</v>
      </c>
    </row>
    <row r="35" spans="2:10" ht="13.5" x14ac:dyDescent="0.2">
      <c r="B35" s="11"/>
      <c r="C35" s="12">
        <v>2</v>
      </c>
      <c r="D35" s="15" t="s">
        <v>43</v>
      </c>
      <c r="E35" s="11"/>
      <c r="F35" s="14">
        <f>F25-F24</f>
        <v>2557</v>
      </c>
      <c r="H35" s="14">
        <f>H25-H24</f>
        <v>2465</v>
      </c>
      <c r="J35" s="14">
        <f>J25-J24</f>
        <v>3652</v>
      </c>
    </row>
    <row r="36" spans="2:10" ht="13.5" x14ac:dyDescent="0.2">
      <c r="B36" s="11"/>
      <c r="C36" s="12">
        <v>3</v>
      </c>
      <c r="D36" s="15" t="s">
        <v>44</v>
      </c>
      <c r="E36" s="11"/>
      <c r="F36" s="16">
        <f>F35/365</f>
        <v>7.0054794520547947</v>
      </c>
      <c r="H36" s="16">
        <f>H35/365</f>
        <v>6.7534246575342465</v>
      </c>
      <c r="J36" s="16">
        <f>J35/365</f>
        <v>10.005479452054795</v>
      </c>
    </row>
    <row r="37" spans="2:10" ht="13.5" x14ac:dyDescent="0.2">
      <c r="B37" s="11"/>
      <c r="C37" s="12">
        <v>4</v>
      </c>
      <c r="D37" s="15" t="s">
        <v>45</v>
      </c>
      <c r="E37" s="13" t="s">
        <v>46</v>
      </c>
      <c r="F37" s="14">
        <f>1/F36</f>
        <v>0.14274540477121628</v>
      </c>
      <c r="H37" s="14">
        <f>1/H36</f>
        <v>0.14807302231237324</v>
      </c>
      <c r="J37" s="14">
        <f>1/J36</f>
        <v>9.9945235487404166E-2</v>
      </c>
    </row>
    <row r="38" spans="2:10" ht="14.25" x14ac:dyDescent="0.2">
      <c r="B38" s="11"/>
      <c r="C38" s="12">
        <v>5</v>
      </c>
      <c r="D38" s="15" t="s">
        <v>47</v>
      </c>
      <c r="E38" s="13" t="s">
        <v>48</v>
      </c>
      <c r="F38" s="14">
        <f>F34^F37</f>
        <v>1.0126363100650753</v>
      </c>
      <c r="H38" s="14">
        <f>H34^H37</f>
        <v>1.0130852377928385</v>
      </c>
      <c r="J38" s="14">
        <f>J34^J37</f>
        <v>1.0105859200882397</v>
      </c>
    </row>
    <row r="39" spans="2:10" ht="13.5" x14ac:dyDescent="0.2">
      <c r="B39" s="11"/>
      <c r="C39" s="12">
        <v>6</v>
      </c>
      <c r="D39" s="11" t="s">
        <v>49</v>
      </c>
      <c r="E39" s="13" t="s">
        <v>50</v>
      </c>
      <c r="F39" s="17">
        <f>F27+F28</f>
        <v>0.13</v>
      </c>
      <c r="H39" s="17">
        <f>H27+H28</f>
        <v>0.13</v>
      </c>
      <c r="J39" s="17">
        <f>J27+J28</f>
        <v>0.15000000000000002</v>
      </c>
    </row>
    <row r="40" spans="2:10" x14ac:dyDescent="0.2">
      <c r="B40" s="11"/>
      <c r="C40" s="12">
        <v>7</v>
      </c>
      <c r="D40" s="15" t="s">
        <v>51</v>
      </c>
      <c r="E40" s="18" t="s">
        <v>52</v>
      </c>
      <c r="F40" s="19">
        <f>F38-1+F39</f>
        <v>0.14263631006507527</v>
      </c>
      <c r="H40" s="19">
        <f>H38-1+H39</f>
        <v>0.14308523779283855</v>
      </c>
      <c r="J40" s="19">
        <f>J38-1+J39</f>
        <v>0.16058592008823969</v>
      </c>
    </row>
    <row r="41" spans="2:10" x14ac:dyDescent="0.2">
      <c r="B41" s="11"/>
      <c r="C41" s="11"/>
      <c r="D41" s="11"/>
      <c r="E41" s="11"/>
      <c r="F41" s="11"/>
      <c r="H41" s="11"/>
      <c r="J41" s="11"/>
    </row>
    <row r="42" spans="2:10" x14ac:dyDescent="0.2">
      <c r="B42" s="11"/>
      <c r="C42" s="11"/>
      <c r="D42" s="11"/>
      <c r="E42" s="11"/>
      <c r="F42" s="11"/>
      <c r="H42" s="11"/>
      <c r="J42" s="11"/>
    </row>
    <row r="43" spans="2:10" x14ac:dyDescent="0.2">
      <c r="B43" s="11"/>
      <c r="C43" s="11"/>
      <c r="D43" s="11"/>
      <c r="E43" s="11"/>
      <c r="F43" s="11"/>
      <c r="H43" s="11"/>
      <c r="J43" s="11"/>
    </row>
    <row r="44" spans="2:10" s="10" customFormat="1" x14ac:dyDescent="0.2">
      <c r="B44" s="9" t="s">
        <v>53</v>
      </c>
    </row>
    <row r="45" spans="2:10" x14ac:dyDescent="0.2">
      <c r="D45" s="2" t="s">
        <v>54</v>
      </c>
    </row>
    <row r="46" spans="2:10" x14ac:dyDescent="0.2">
      <c r="D46" s="2" t="s">
        <v>55</v>
      </c>
    </row>
    <row r="47" spans="2:10" x14ac:dyDescent="0.2">
      <c r="B47" s="11"/>
      <c r="C47" s="11"/>
      <c r="D47" s="11" t="s">
        <v>56</v>
      </c>
      <c r="E47" s="11"/>
      <c r="F47" s="11"/>
      <c r="H47" s="11"/>
      <c r="J47" s="11"/>
    </row>
    <row r="48" spans="2:10" x14ac:dyDescent="0.2">
      <c r="B48" s="11"/>
      <c r="C48" s="11"/>
      <c r="D48" s="11"/>
      <c r="E48" s="11"/>
      <c r="F48" s="11"/>
      <c r="H48" s="11"/>
      <c r="J48" s="11"/>
    </row>
    <row r="49" spans="2:10" s="10" customFormat="1" x14ac:dyDescent="0.2">
      <c r="B49" s="20" t="s">
        <v>57</v>
      </c>
      <c r="C49" s="21"/>
      <c r="D49" s="21"/>
      <c r="E49" s="21"/>
      <c r="F49" s="21"/>
      <c r="H49" s="21"/>
      <c r="J49" s="21"/>
    </row>
    <row r="50" spans="2:10" x14ac:dyDescent="0.2">
      <c r="B50" s="11"/>
      <c r="C50" s="11"/>
      <c r="D50" s="11" t="s">
        <v>58</v>
      </c>
      <c r="E50" s="11"/>
      <c r="F50" s="11"/>
      <c r="H50" s="11"/>
      <c r="J50" s="11"/>
    </row>
    <row r="51" spans="2:10" x14ac:dyDescent="0.2">
      <c r="B51" s="11"/>
      <c r="C51" s="11"/>
      <c r="D51" s="11"/>
      <c r="E51" s="11"/>
      <c r="F51" s="11"/>
      <c r="H51" s="11"/>
      <c r="J51" s="11"/>
    </row>
    <row r="52" spans="2:10" x14ac:dyDescent="0.2">
      <c r="B52" s="11"/>
      <c r="C52" s="11"/>
      <c r="D52" s="11"/>
      <c r="E52" s="11"/>
      <c r="F52" s="11"/>
      <c r="H52" s="11"/>
      <c r="J52" s="11"/>
    </row>
    <row r="53" spans="2:10" x14ac:dyDescent="0.2">
      <c r="B53" s="11"/>
      <c r="C53" s="12">
        <v>1</v>
      </c>
      <c r="D53" s="11" t="s">
        <v>38</v>
      </c>
      <c r="E53" s="11"/>
      <c r="F53" s="22">
        <f>F29</f>
        <v>1445645.0359</v>
      </c>
      <c r="G53" s="23"/>
      <c r="H53" s="22">
        <f>H29</f>
        <v>1445645.0359</v>
      </c>
      <c r="J53" s="22">
        <f>J29</f>
        <v>1500000.0000000002</v>
      </c>
    </row>
    <row r="54" spans="2:10" x14ac:dyDescent="0.2">
      <c r="B54" s="11"/>
      <c r="C54" s="12">
        <v>2</v>
      </c>
      <c r="D54" s="11" t="s">
        <v>59</v>
      </c>
      <c r="E54" s="11"/>
      <c r="F54" s="22">
        <f>F22-F23</f>
        <v>936450.23000000045</v>
      </c>
      <c r="H54" s="22">
        <f>H22-H23</f>
        <v>934700.65498599969</v>
      </c>
      <c r="J54" s="22">
        <f>J22-J23</f>
        <v>1000000</v>
      </c>
    </row>
    <row r="55" spans="2:10" x14ac:dyDescent="0.2">
      <c r="B55" s="11"/>
      <c r="C55" s="12">
        <v>3</v>
      </c>
      <c r="D55" s="11" t="s">
        <v>60</v>
      </c>
      <c r="E55" s="13" t="s">
        <v>42</v>
      </c>
      <c r="F55" s="24">
        <f>F54/F26</f>
        <v>133673.96712944863</v>
      </c>
      <c r="H55" s="24">
        <f>H54/H26</f>
        <v>138403.9509411318</v>
      </c>
      <c r="J55" s="24">
        <f>J54/J26</f>
        <v>98576.122672508223</v>
      </c>
    </row>
    <row r="56" spans="2:10" x14ac:dyDescent="0.2">
      <c r="B56" s="11"/>
      <c r="C56" s="12">
        <v>4</v>
      </c>
      <c r="D56" s="11" t="s">
        <v>61</v>
      </c>
      <c r="E56" s="13" t="s">
        <v>46</v>
      </c>
      <c r="F56" s="25">
        <f>F53+F55</f>
        <v>1579319.0030294487</v>
      </c>
      <c r="H56" s="25">
        <f>H53+H55</f>
        <v>1584048.9868411319</v>
      </c>
      <c r="J56" s="25">
        <f>J53+J55</f>
        <v>1598576.1226725085</v>
      </c>
    </row>
    <row r="57" spans="2:10" x14ac:dyDescent="0.2">
      <c r="B57" s="11"/>
      <c r="C57" s="12">
        <v>5</v>
      </c>
      <c r="D57" s="11" t="s">
        <v>62</v>
      </c>
      <c r="E57" s="13" t="s">
        <v>48</v>
      </c>
      <c r="F57" s="22">
        <f>(F22+F23)/2</f>
        <v>10652121.314999999</v>
      </c>
      <c r="H57" s="22">
        <f>(H22+H23)/2</f>
        <v>10652996.102506999</v>
      </c>
      <c r="J57" s="22">
        <f>(J22+J23)/2</f>
        <v>9500000</v>
      </c>
    </row>
    <row r="58" spans="2:10" x14ac:dyDescent="0.2">
      <c r="B58" s="11"/>
      <c r="C58" s="12">
        <v>6</v>
      </c>
      <c r="D58" s="15" t="s">
        <v>51</v>
      </c>
      <c r="E58" s="13" t="s">
        <v>63</v>
      </c>
      <c r="F58" s="26">
        <f>F56/F57</f>
        <v>0.14826333237544889</v>
      </c>
      <c r="H58" s="26">
        <f>H56/H57</f>
        <v>0.14869516252506215</v>
      </c>
      <c r="J58" s="26">
        <f>J56/J57</f>
        <v>0.16827117080763246</v>
      </c>
    </row>
    <row r="59" spans="2:10" x14ac:dyDescent="0.2">
      <c r="B59" s="11"/>
      <c r="C59" s="12"/>
      <c r="D59" s="11"/>
      <c r="E59" s="11"/>
      <c r="F59" s="11"/>
      <c r="H59" s="11"/>
      <c r="J59" s="11"/>
    </row>
    <row r="60" spans="2:10" x14ac:dyDescent="0.2">
      <c r="B60" s="11"/>
      <c r="C60" s="12"/>
      <c r="D60" s="11"/>
      <c r="E60" s="11"/>
      <c r="F60" s="11"/>
      <c r="H60" s="11"/>
      <c r="J60" s="11"/>
    </row>
    <row r="61" spans="2:10" x14ac:dyDescent="0.2">
      <c r="B61" s="11"/>
      <c r="C61" s="12"/>
      <c r="D61" s="11"/>
      <c r="E61" s="11"/>
      <c r="F61" s="11"/>
      <c r="H61" s="11"/>
      <c r="J61" s="11"/>
    </row>
    <row r="62" spans="2:10" x14ac:dyDescent="0.2">
      <c r="C62" s="27"/>
    </row>
    <row r="63" spans="2:10" x14ac:dyDescent="0.2">
      <c r="C63" s="27"/>
    </row>
    <row r="68" spans="2:5" s="29" customFormat="1" x14ac:dyDescent="0.2">
      <c r="B68" s="28" t="s">
        <v>64</v>
      </c>
    </row>
    <row r="70" spans="2:5" x14ac:dyDescent="0.2">
      <c r="D70" s="2" t="s">
        <v>65</v>
      </c>
    </row>
    <row r="71" spans="2:5" x14ac:dyDescent="0.2">
      <c r="D71" s="2" t="s">
        <v>66</v>
      </c>
    </row>
    <row r="72" spans="2:5" x14ac:dyDescent="0.2">
      <c r="E72" s="2" t="s">
        <v>67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opLeftCell="I2" workbookViewId="0">
      <selection activeCell="P36" sqref="P36"/>
    </sheetView>
  </sheetViews>
  <sheetFormatPr defaultRowHeight="12.75" x14ac:dyDescent="0.2"/>
  <cols>
    <col min="1" max="1" width="10.140625" style="34" hidden="1" customWidth="1"/>
    <col min="2" max="3" width="14.5703125" style="34" hidden="1" customWidth="1"/>
    <col min="4" max="4" width="14" style="34" hidden="1" customWidth="1"/>
    <col min="5" max="5" width="19.85546875" style="34" hidden="1" customWidth="1"/>
    <col min="6" max="6" width="15.28515625" style="34" hidden="1" customWidth="1"/>
    <col min="7" max="7" width="12.85546875" style="34" hidden="1" customWidth="1"/>
    <col min="8" max="8" width="0" style="34" hidden="1" customWidth="1"/>
    <col min="9" max="9" width="9.140625" style="34"/>
    <col min="10" max="10" width="10.140625" style="34" bestFit="1" customWidth="1"/>
    <col min="11" max="11" width="14.5703125" style="34" bestFit="1" customWidth="1"/>
    <col min="12" max="12" width="14.5703125" style="34" customWidth="1"/>
    <col min="13" max="13" width="14" style="34" bestFit="1" customWidth="1"/>
    <col min="14" max="14" width="19.85546875" style="34" bestFit="1" customWidth="1"/>
    <col min="15" max="15" width="19.85546875" style="34" customWidth="1"/>
    <col min="16" max="16" width="15.28515625" style="34" customWidth="1"/>
    <col min="17" max="17" width="10.5703125" style="34" bestFit="1" customWidth="1"/>
    <col min="18" max="18" width="10.28515625" style="34" bestFit="1" customWidth="1"/>
    <col min="19" max="19" width="9.140625" style="34"/>
    <col min="20" max="20" width="14.28515625" style="34" bestFit="1" customWidth="1"/>
    <col min="21" max="16384" width="9.140625" style="34"/>
  </cols>
  <sheetData>
    <row r="1" spans="1:20" x14ac:dyDescent="0.2">
      <c r="A1" s="33" t="s">
        <v>68</v>
      </c>
      <c r="E1" s="34">
        <v>0.15821961619647662</v>
      </c>
      <c r="J1" s="33" t="s">
        <v>68</v>
      </c>
      <c r="L1" s="39">
        <f>+L3+K3</f>
        <v>936450.23000000231</v>
      </c>
      <c r="Q1" s="34" t="s">
        <v>90</v>
      </c>
      <c r="S1" s="34" t="s">
        <v>90</v>
      </c>
      <c r="T1" s="34" t="s">
        <v>90</v>
      </c>
    </row>
    <row r="2" spans="1:20" x14ac:dyDescent="0.2">
      <c r="A2" s="35" t="s">
        <v>69</v>
      </c>
      <c r="B2" s="35" t="s">
        <v>70</v>
      </c>
      <c r="C2" s="36" t="s">
        <v>71</v>
      </c>
      <c r="D2" s="36" t="s">
        <v>72</v>
      </c>
      <c r="E2" s="36" t="s">
        <v>73</v>
      </c>
      <c r="F2" s="36" t="s">
        <v>74</v>
      </c>
      <c r="J2" s="35" t="s">
        <v>69</v>
      </c>
      <c r="K2" s="35" t="s">
        <v>70</v>
      </c>
      <c r="L2" s="36" t="s">
        <v>71</v>
      </c>
      <c r="M2" s="36" t="s">
        <v>72</v>
      </c>
      <c r="N2" s="36" t="s">
        <v>73</v>
      </c>
      <c r="O2" s="36"/>
      <c r="P2" s="36" t="s">
        <v>74</v>
      </c>
      <c r="Q2" s="34" t="s">
        <v>90</v>
      </c>
      <c r="S2" s="34" t="s">
        <v>90</v>
      </c>
      <c r="T2" s="34" t="s">
        <v>90</v>
      </c>
    </row>
    <row r="3" spans="1:20" ht="15" x14ac:dyDescent="0.25">
      <c r="A3" s="37">
        <v>40130</v>
      </c>
      <c r="B3" s="38">
        <v>-10183896.199999999</v>
      </c>
      <c r="C3" s="39">
        <v>11120346.430000002</v>
      </c>
      <c r="D3" s="38">
        <v>10183896.199999999</v>
      </c>
      <c r="E3" s="34">
        <f>+E1</f>
        <v>0.15821961619647662</v>
      </c>
      <c r="J3" s="37">
        <v>40130</v>
      </c>
      <c r="K3" s="38">
        <v>-10183896.199999999</v>
      </c>
      <c r="L3" s="39">
        <v>11120346.430000002</v>
      </c>
      <c r="M3" s="38">
        <v>10183896.199999999</v>
      </c>
      <c r="N3" s="57">
        <f>S3</f>
        <v>0.14264099999999999</v>
      </c>
      <c r="P3" s="61"/>
      <c r="Q3" s="44"/>
      <c r="S3">
        <v>0.14264099999999999</v>
      </c>
      <c r="T3" s="31">
        <v>10183896.199999999</v>
      </c>
    </row>
    <row r="4" spans="1:20" ht="15" x14ac:dyDescent="0.25">
      <c r="A4" s="37">
        <v>40222</v>
      </c>
      <c r="B4" s="38">
        <v>361411.258975</v>
      </c>
      <c r="C4" s="38"/>
      <c r="D4" s="38">
        <f t="shared" ref="D4:D31" si="0">+D3+F4</f>
        <v>10225307.978062188</v>
      </c>
      <c r="F4" s="39">
        <f>(0.25*$E$3*D3)-B4</f>
        <v>41411.778062189114</v>
      </c>
      <c r="G4" s="39"/>
      <c r="J4" s="37">
        <v>40222</v>
      </c>
      <c r="K4" s="38">
        <v>361411.258975</v>
      </c>
      <c r="L4" s="38"/>
      <c r="M4" s="38">
        <f t="shared" ref="M4:M31" si="1">+M3+P4</f>
        <v>10185645.225491049</v>
      </c>
      <c r="N4" s="57">
        <f t="shared" ref="N4:N30" si="2">S4</f>
        <v>0.14308599999999999</v>
      </c>
      <c r="P4" s="39">
        <f t="shared" ref="P4:P31" si="3">(0.25*N3*M3)-K4</f>
        <v>1749.0254910499207</v>
      </c>
      <c r="Q4" s="31">
        <v>1749.5750140888999</v>
      </c>
      <c r="S4">
        <v>0.14308599999999999</v>
      </c>
      <c r="T4" s="31">
        <v>10185645.775014</v>
      </c>
    </row>
    <row r="5" spans="1:20" ht="15" x14ac:dyDescent="0.25">
      <c r="A5" s="37">
        <v>40311</v>
      </c>
      <c r="B5" s="38">
        <v>361411.258975</v>
      </c>
      <c r="C5" s="38"/>
      <c r="D5" s="38">
        <f t="shared" si="0"/>
        <v>10268357.795032131</v>
      </c>
      <c r="F5" s="39">
        <f>(0.25*$E$3*D4)-B5</f>
        <v>43049.816969942418</v>
      </c>
      <c r="J5" s="37">
        <v>40311</v>
      </c>
      <c r="K5" s="38">
        <v>361411.258975</v>
      </c>
      <c r="L5" s="38"/>
      <c r="M5" s="38">
        <f t="shared" si="1"/>
        <v>10188589.774699701</v>
      </c>
      <c r="N5" s="57">
        <f t="shared" si="2"/>
        <v>0.14354800000000001</v>
      </c>
      <c r="P5" s="39">
        <f t="shared" si="3"/>
        <v>2944.549208653043</v>
      </c>
      <c r="Q5" s="31">
        <v>2945.8406711121002</v>
      </c>
      <c r="S5">
        <v>0.14354800000000001</v>
      </c>
      <c r="T5" s="31">
        <v>10188591.6156852</v>
      </c>
    </row>
    <row r="6" spans="1:20" ht="15" x14ac:dyDescent="0.25">
      <c r="A6" s="37">
        <v>40403</v>
      </c>
      <c r="B6" s="38">
        <v>361411.258975</v>
      </c>
      <c r="C6" s="38"/>
      <c r="D6" s="38">
        <f t="shared" si="0"/>
        <v>10313110.44338165</v>
      </c>
      <c r="F6" s="39">
        <f t="shared" ref="F6:F31" si="4">(0.25*$E$3*D5)-B6</f>
        <v>44752.648349520634</v>
      </c>
      <c r="J6" s="37">
        <v>40403</v>
      </c>
      <c r="K6" s="38">
        <v>361411.258975</v>
      </c>
      <c r="L6" s="38"/>
      <c r="M6" s="38">
        <f t="shared" si="1"/>
        <v>10192816.436969349</v>
      </c>
      <c r="N6" s="57">
        <f t="shared" si="2"/>
        <v>0.14402599999999999</v>
      </c>
      <c r="P6" s="39">
        <f t="shared" si="3"/>
        <v>4226.6622696481645</v>
      </c>
      <c r="Q6" s="31">
        <v>4226.5832006072997</v>
      </c>
      <c r="S6">
        <v>0.14402599999999999</v>
      </c>
      <c r="T6" s="31">
        <v>10192818.1988858</v>
      </c>
    </row>
    <row r="7" spans="1:20" ht="15" x14ac:dyDescent="0.25">
      <c r="A7" s="37">
        <v>40495</v>
      </c>
      <c r="B7" s="38">
        <v>361411.258975</v>
      </c>
      <c r="C7" s="38"/>
      <c r="D7" s="38">
        <f t="shared" si="0"/>
        <v>10359633.27844258</v>
      </c>
      <c r="F7" s="39">
        <f t="shared" si="4"/>
        <v>46522.83506092988</v>
      </c>
      <c r="J7" s="37">
        <v>40495</v>
      </c>
      <c r="K7" s="38">
        <v>361411.258975</v>
      </c>
      <c r="L7" s="38"/>
      <c r="M7" s="38">
        <f t="shared" si="1"/>
        <v>10198412.823032087</v>
      </c>
      <c r="N7" s="57">
        <f t="shared" si="2"/>
        <v>0.14452200000000001</v>
      </c>
      <c r="P7" s="39">
        <f t="shared" si="3"/>
        <v>5596.3860627368558</v>
      </c>
      <c r="Q7" s="31">
        <v>5596.8486539426003</v>
      </c>
      <c r="S7">
        <v>0.14452200000000001</v>
      </c>
      <c r="T7" s="31">
        <v>10198415.0475397</v>
      </c>
    </row>
    <row r="8" spans="1:20" ht="15" x14ac:dyDescent="0.25">
      <c r="A8" s="37">
        <v>40587</v>
      </c>
      <c r="B8" s="38">
        <v>361411.258975</v>
      </c>
      <c r="C8" s="38"/>
      <c r="D8" s="38">
        <f t="shared" si="0"/>
        <v>10407996.319780439</v>
      </c>
      <c r="F8" s="39">
        <f t="shared" si="4"/>
        <v>48363.041337857954</v>
      </c>
      <c r="J8" s="37">
        <v>40587</v>
      </c>
      <c r="K8" s="38">
        <v>361411.258975</v>
      </c>
      <c r="L8" s="38"/>
      <c r="M8" s="38">
        <f t="shared" si="1"/>
        <v>10205475.318559647</v>
      </c>
      <c r="N8" s="57">
        <f t="shared" si="2"/>
        <v>0.145035</v>
      </c>
      <c r="P8" s="39">
        <f t="shared" si="3"/>
        <v>7062.4955275608227</v>
      </c>
      <c r="Q8" s="31">
        <v>7062.0066501029996</v>
      </c>
      <c r="S8">
        <v>0.145035</v>
      </c>
      <c r="T8" s="31">
        <v>10205477.054189799</v>
      </c>
    </row>
    <row r="9" spans="1:20" ht="15" x14ac:dyDescent="0.25">
      <c r="A9" s="37">
        <v>40676</v>
      </c>
      <c r="B9" s="38">
        <v>361411.258975</v>
      </c>
      <c r="C9" s="38"/>
      <c r="D9" s="38">
        <f t="shared" si="0"/>
        <v>10458272.35657794</v>
      </c>
      <c r="F9" s="39">
        <f t="shared" si="4"/>
        <v>50276.036797500565</v>
      </c>
      <c r="J9" s="37">
        <v>40676</v>
      </c>
      <c r="K9" s="38">
        <v>361411.258975</v>
      </c>
      <c r="L9" s="38"/>
      <c r="M9" s="38">
        <f t="shared" si="1"/>
        <v>10214101.837791471</v>
      </c>
      <c r="N9" s="57">
        <f t="shared" si="2"/>
        <v>0.145568</v>
      </c>
      <c r="P9" s="39">
        <f t="shared" si="3"/>
        <v>8626.5192318245536</v>
      </c>
      <c r="Q9" s="31">
        <v>8627.776255449</v>
      </c>
      <c r="S9">
        <v>0.145568</v>
      </c>
      <c r="T9" s="31">
        <v>10214104.830445301</v>
      </c>
    </row>
    <row r="10" spans="1:20" ht="15" x14ac:dyDescent="0.25">
      <c r="A10" s="37">
        <v>40768</v>
      </c>
      <c r="B10" s="38">
        <v>361411.258975</v>
      </c>
      <c r="C10" s="38"/>
      <c r="D10" s="38">
        <f t="shared" si="0"/>
        <v>10510537.057186935</v>
      </c>
      <c r="F10" s="39">
        <f t="shared" si="4"/>
        <v>52264.700608995685</v>
      </c>
      <c r="J10" s="37">
        <v>40768</v>
      </c>
      <c r="K10" s="38">
        <v>361411.258975</v>
      </c>
      <c r="L10" s="38"/>
      <c r="M10" s="38">
        <f t="shared" si="1"/>
        <v>10224402.172897378</v>
      </c>
      <c r="N10" s="57">
        <f t="shared" si="2"/>
        <v>0.14612</v>
      </c>
      <c r="P10" s="39">
        <f t="shared" si="3"/>
        <v>10300.33510590723</v>
      </c>
      <c r="Q10" s="31">
        <v>10300.2549770203</v>
      </c>
      <c r="S10">
        <v>0.14612</v>
      </c>
      <c r="T10" s="31">
        <v>10224405.0854223</v>
      </c>
    </row>
    <row r="11" spans="1:20" ht="15" x14ac:dyDescent="0.25">
      <c r="A11" s="37">
        <v>40860</v>
      </c>
      <c r="B11" s="38">
        <v>361411.258975</v>
      </c>
      <c r="C11" s="38"/>
      <c r="D11" s="38">
        <f t="shared" si="0"/>
        <v>10564869.083013676</v>
      </c>
      <c r="F11" s="39">
        <f t="shared" si="4"/>
        <v>54332.025826740428</v>
      </c>
      <c r="J11" s="37">
        <v>40860</v>
      </c>
      <c r="K11" s="38">
        <v>361411.258975</v>
      </c>
      <c r="L11" s="38"/>
      <c r="M11" s="38">
        <f t="shared" si="1"/>
        <v>10236488.325298319</v>
      </c>
      <c r="N11" s="57">
        <f t="shared" si="2"/>
        <v>0.14669199999999999</v>
      </c>
      <c r="P11" s="39">
        <f t="shared" si="3"/>
        <v>12086.152400941239</v>
      </c>
      <c r="Q11" s="31">
        <v>12085.9513987385</v>
      </c>
      <c r="S11">
        <v>0.14669199999999999</v>
      </c>
      <c r="T11" s="31">
        <v>10236491.036821</v>
      </c>
    </row>
    <row r="12" spans="1:20" ht="15" x14ac:dyDescent="0.25">
      <c r="A12" s="37">
        <v>40952</v>
      </c>
      <c r="B12" s="38">
        <v>361411.258975</v>
      </c>
      <c r="C12" s="38"/>
      <c r="D12" s="38">
        <f t="shared" si="0"/>
        <v>10621350.206908787</v>
      </c>
      <c r="F12" s="39">
        <f t="shared" si="4"/>
        <v>56481.123895111436</v>
      </c>
      <c r="J12" s="37">
        <v>40952</v>
      </c>
      <c r="K12" s="38">
        <v>361411.258975</v>
      </c>
      <c r="L12" s="38"/>
      <c r="M12" s="38">
        <f t="shared" si="1"/>
        <v>10250479.802676983</v>
      </c>
      <c r="N12" s="57">
        <f t="shared" si="2"/>
        <v>0.147285</v>
      </c>
      <c r="P12" s="39">
        <f t="shared" si="3"/>
        <v>13991.477378665179</v>
      </c>
      <c r="Q12" s="31">
        <v>13991.821828751799</v>
      </c>
      <c r="S12">
        <v>0.147285</v>
      </c>
      <c r="T12" s="31">
        <v>10250482.8586498</v>
      </c>
    </row>
    <row r="13" spans="1:20" ht="15" x14ac:dyDescent="0.25">
      <c r="A13" s="37">
        <v>41042</v>
      </c>
      <c r="B13" s="38">
        <v>361411.258975</v>
      </c>
      <c r="C13" s="38"/>
      <c r="D13" s="38">
        <f t="shared" si="0"/>
        <v>10680065.436240155</v>
      </c>
      <c r="F13" s="39">
        <f t="shared" si="4"/>
        <v>58715.22933136893</v>
      </c>
      <c r="J13" s="37">
        <v>41042</v>
      </c>
      <c r="K13" s="38">
        <v>361411.258975</v>
      </c>
      <c r="L13" s="38"/>
      <c r="M13" s="38">
        <f t="shared" si="1"/>
        <v>10266504.023136303</v>
      </c>
      <c r="N13" s="57">
        <f t="shared" si="2"/>
        <v>0.147901</v>
      </c>
      <c r="P13" s="39">
        <f t="shared" si="3"/>
        <v>16024.220459319884</v>
      </c>
      <c r="Q13" s="31">
        <v>16025.312212687</v>
      </c>
      <c r="S13">
        <v>0.147901</v>
      </c>
      <c r="T13" s="31">
        <v>10266508.1708625</v>
      </c>
    </row>
    <row r="14" spans="1:20" ht="15" x14ac:dyDescent="0.25">
      <c r="A14" s="37">
        <v>41134</v>
      </c>
      <c r="B14" s="38">
        <v>361411.258975</v>
      </c>
      <c r="C14" s="38"/>
      <c r="D14" s="38">
        <f t="shared" si="0"/>
        <v>10741103.140833948</v>
      </c>
      <c r="F14" s="39">
        <f t="shared" si="4"/>
        <v>61037.704593793256</v>
      </c>
      <c r="J14" s="37">
        <v>41134</v>
      </c>
      <c r="K14" s="38">
        <v>361411.258975</v>
      </c>
      <c r="L14" s="38"/>
      <c r="M14" s="38">
        <f t="shared" si="1"/>
        <v>10284699.317042774</v>
      </c>
      <c r="N14" s="57">
        <f t="shared" si="2"/>
        <v>0.148539</v>
      </c>
      <c r="P14" s="39">
        <f t="shared" si="3"/>
        <v>18195.293906470586</v>
      </c>
      <c r="Q14" s="31">
        <v>18194.406451085299</v>
      </c>
      <c r="S14">
        <v>0.148539</v>
      </c>
      <c r="T14" s="31">
        <v>10284702.5773135</v>
      </c>
    </row>
    <row r="15" spans="1:20" ht="15" x14ac:dyDescent="0.25">
      <c r="A15" s="37">
        <v>41226</v>
      </c>
      <c r="B15" s="38">
        <v>361411.258975</v>
      </c>
      <c r="C15" s="38"/>
      <c r="D15" s="38">
        <f t="shared" si="0"/>
        <v>10804555.185976326</v>
      </c>
      <c r="F15" s="39">
        <f t="shared" si="4"/>
        <v>63452.045142379182</v>
      </c>
      <c r="J15" s="37">
        <v>41226</v>
      </c>
      <c r="K15" s="38">
        <v>361411.258975</v>
      </c>
      <c r="L15" s="38"/>
      <c r="M15" s="38">
        <f t="shared" si="1"/>
        <v>10305207.796031328</v>
      </c>
      <c r="N15" s="57">
        <f t="shared" si="2"/>
        <v>0.149201</v>
      </c>
      <c r="P15" s="39">
        <f t="shared" si="3"/>
        <v>20508.478988554154</v>
      </c>
      <c r="Q15" s="31">
        <v>20507.682353884698</v>
      </c>
      <c r="S15">
        <v>0.149201</v>
      </c>
      <c r="T15" s="31">
        <v>10305210.2596674</v>
      </c>
    </row>
    <row r="16" spans="1:20" ht="15" x14ac:dyDescent="0.25">
      <c r="A16" s="37">
        <v>41318</v>
      </c>
      <c r="B16" s="38">
        <v>361411.258975</v>
      </c>
      <c r="C16" s="38"/>
      <c r="D16" s="38">
        <f t="shared" si="0"/>
        <v>10870517.070676032</v>
      </c>
      <c r="F16" s="39">
        <f t="shared" si="4"/>
        <v>65961.884699706337</v>
      </c>
      <c r="J16" s="37">
        <v>41318</v>
      </c>
      <c r="K16" s="38">
        <v>361411.258975</v>
      </c>
      <c r="L16" s="38"/>
      <c r="M16" s="38">
        <f t="shared" si="1"/>
        <v>10328183.364150245</v>
      </c>
      <c r="N16" s="57">
        <f t="shared" si="2"/>
        <v>0.14988699999999999</v>
      </c>
      <c r="P16" s="39">
        <f t="shared" si="3"/>
        <v>22975.568118917523</v>
      </c>
      <c r="Q16" s="31">
        <v>22974.378096531302</v>
      </c>
      <c r="S16">
        <v>0.14988699999999999</v>
      </c>
      <c r="T16" s="31">
        <v>10328184.637763999</v>
      </c>
    </row>
    <row r="17" spans="1:20" ht="15" x14ac:dyDescent="0.25">
      <c r="A17" s="37">
        <v>41407</v>
      </c>
      <c r="B17" s="38">
        <v>361411.258975</v>
      </c>
      <c r="C17" s="38"/>
      <c r="D17" s="38">
        <f t="shared" si="0"/>
        <v>10939088.071395935</v>
      </c>
      <c r="F17" s="39">
        <f t="shared" si="4"/>
        <v>68571.00071990228</v>
      </c>
      <c r="J17" s="37">
        <v>41407</v>
      </c>
      <c r="K17" s="38">
        <v>361411.258975</v>
      </c>
      <c r="L17" s="38"/>
      <c r="M17" s="38">
        <f t="shared" si="1"/>
        <v>10353787.210150842</v>
      </c>
      <c r="N17" s="57">
        <f t="shared" si="2"/>
        <v>0.15060000000000001</v>
      </c>
      <c r="P17" s="39">
        <f t="shared" si="3"/>
        <v>25603.846000596881</v>
      </c>
      <c r="Q17" s="31">
        <v>25604.471664525099</v>
      </c>
      <c r="S17">
        <v>0.15060000000000001</v>
      </c>
      <c r="T17" s="31">
        <v>10353789.109428501</v>
      </c>
    </row>
    <row r="18" spans="1:20" ht="15" x14ac:dyDescent="0.25">
      <c r="A18" s="37">
        <v>41499</v>
      </c>
      <c r="B18" s="38">
        <v>361411.258975</v>
      </c>
      <c r="C18" s="38"/>
      <c r="D18" s="38">
        <f t="shared" si="0"/>
        <v>11010371.391469866</v>
      </c>
      <c r="F18" s="39">
        <f t="shared" si="4"/>
        <v>71283.320073930139</v>
      </c>
      <c r="J18" s="37">
        <v>41499</v>
      </c>
      <c r="K18" s="38">
        <v>361411.258975</v>
      </c>
      <c r="L18" s="38"/>
      <c r="M18" s="40">
        <f t="shared" si="1"/>
        <v>10382196.03963802</v>
      </c>
      <c r="N18" s="57">
        <f t="shared" si="2"/>
        <v>0.15134</v>
      </c>
      <c r="P18" s="39">
        <f t="shared" si="3"/>
        <v>28408.829487179231</v>
      </c>
      <c r="Q18" s="31">
        <v>28408.778276698598</v>
      </c>
      <c r="S18">
        <v>0.15134</v>
      </c>
      <c r="T18" s="31">
        <v>10382197.887705199</v>
      </c>
    </row>
    <row r="19" spans="1:20" ht="15" x14ac:dyDescent="0.25">
      <c r="A19" s="37">
        <v>41591</v>
      </c>
      <c r="B19" s="38">
        <v>361411.258975</v>
      </c>
      <c r="C19" s="38"/>
      <c r="D19" s="38">
        <f t="shared" si="0"/>
        <v>11084474.316429622</v>
      </c>
      <c r="F19" s="39">
        <f t="shared" si="4"/>
        <v>74102.924959757132</v>
      </c>
      <c r="J19" s="37">
        <v>41591</v>
      </c>
      <c r="K19" s="38">
        <v>361411.258975</v>
      </c>
      <c r="L19" s="38"/>
      <c r="M19" s="40">
        <f t="shared" si="1"/>
        <v>10413595.167822724</v>
      </c>
      <c r="N19" s="57">
        <f t="shared" si="2"/>
        <v>0.15210899999999999</v>
      </c>
      <c r="P19" s="39">
        <f t="shared" si="3"/>
        <v>31399.128184704517</v>
      </c>
      <c r="Q19" s="31">
        <v>31399.072300044299</v>
      </c>
      <c r="S19">
        <v>0.15210899999999999</v>
      </c>
      <c r="T19" s="31">
        <v>10413596.9600052</v>
      </c>
    </row>
    <row r="20" spans="1:20" ht="15" x14ac:dyDescent="0.25">
      <c r="A20" s="37">
        <v>41683</v>
      </c>
      <c r="B20" s="38">
        <v>361411.258975</v>
      </c>
      <c r="C20" s="38"/>
      <c r="D20" s="41">
        <f t="shared" si="0"/>
        <v>11161508.375475923</v>
      </c>
      <c r="F20" s="39">
        <f t="shared" si="4"/>
        <v>77034.059046299371</v>
      </c>
      <c r="G20" s="33" t="s">
        <v>75</v>
      </c>
      <c r="J20" s="37">
        <v>41683</v>
      </c>
      <c r="K20" s="38">
        <v>361411.258975</v>
      </c>
      <c r="L20" s="38"/>
      <c r="M20" s="40">
        <f t="shared" si="1"/>
        <v>10448184.29569331</v>
      </c>
      <c r="N20" s="57">
        <f t="shared" si="2"/>
        <v>0.15290799999999999</v>
      </c>
      <c r="P20" s="39">
        <f t="shared" si="3"/>
        <v>34589.127870586643</v>
      </c>
      <c r="Q20" s="31">
        <v>34588.2441935643</v>
      </c>
      <c r="S20">
        <v>0.15290799999999999</v>
      </c>
      <c r="T20" s="31">
        <v>10448185.2041988</v>
      </c>
    </row>
    <row r="21" spans="1:20" ht="15" x14ac:dyDescent="0.25">
      <c r="A21" s="37">
        <v>41772</v>
      </c>
      <c r="B21" s="38">
        <v>361411.258975</v>
      </c>
      <c r="C21" s="38"/>
      <c r="D21" s="38">
        <f t="shared" si="0"/>
        <v>11241589.509336313</v>
      </c>
      <c r="F21" s="39">
        <f t="shared" si="4"/>
        <v>80081.133860389935</v>
      </c>
      <c r="J21" s="37">
        <v>41772</v>
      </c>
      <c r="K21" s="38">
        <v>361411.258975</v>
      </c>
      <c r="L21" s="38"/>
      <c r="M21" s="40">
        <f t="shared" si="1"/>
        <v>10486175.777789779</v>
      </c>
      <c r="N21" s="57">
        <f t="shared" si="2"/>
        <v>0.15373899999999999</v>
      </c>
      <c r="P21" s="39">
        <f t="shared" si="3"/>
        <v>37991.482096468098</v>
      </c>
      <c r="Q21" s="31">
        <v>37990.509150686798</v>
      </c>
      <c r="S21">
        <v>0.15373899999999999</v>
      </c>
      <c r="T21" s="31">
        <v>10486175.713349501</v>
      </c>
    </row>
    <row r="22" spans="1:20" ht="15" x14ac:dyDescent="0.25">
      <c r="A22" s="37">
        <v>41864</v>
      </c>
      <c r="B22" s="38">
        <v>361411.258975</v>
      </c>
      <c r="C22" s="38"/>
      <c r="D22" s="38">
        <f t="shared" si="0"/>
        <v>11324838.244762696</v>
      </c>
      <c r="F22" s="39">
        <f t="shared" si="4"/>
        <v>83248.735426382336</v>
      </c>
      <c r="J22" s="37">
        <v>41864</v>
      </c>
      <c r="K22" s="38">
        <v>361411.258975</v>
      </c>
      <c r="L22" s="38"/>
      <c r="M22" s="40">
        <f t="shared" si="1"/>
        <v>10527798.063290184</v>
      </c>
      <c r="N22" s="57">
        <f t="shared" si="2"/>
        <v>0.15460399999999999</v>
      </c>
      <c r="P22" s="39">
        <f t="shared" si="3"/>
        <v>41622.285500405647</v>
      </c>
      <c r="Q22" s="31">
        <v>41621.695090003697</v>
      </c>
      <c r="S22">
        <v>0.15460399999999999</v>
      </c>
      <c r="T22" s="31">
        <v>10527797.4084395</v>
      </c>
    </row>
    <row r="23" spans="1:20" ht="15" x14ac:dyDescent="0.25">
      <c r="A23" s="37">
        <v>41956</v>
      </c>
      <c r="B23" s="38">
        <v>361411.258975</v>
      </c>
      <c r="C23" s="38"/>
      <c r="D23" s="38">
        <f t="shared" si="0"/>
        <v>11411379.87593108</v>
      </c>
      <c r="F23" s="39">
        <f t="shared" si="4"/>
        <v>86541.631168383465</v>
      </c>
      <c r="J23" s="37">
        <v>41956</v>
      </c>
      <c r="K23" s="38">
        <v>361411.258975</v>
      </c>
      <c r="L23" s="38"/>
      <c r="M23" s="40">
        <f t="shared" si="1"/>
        <v>10573296.727259412</v>
      </c>
      <c r="N23" s="57">
        <f t="shared" si="2"/>
        <v>0.15550700000000001</v>
      </c>
      <c r="P23" s="39">
        <f t="shared" si="3"/>
        <v>45498.663969228917</v>
      </c>
      <c r="Q23" s="31">
        <v>45499.658012580097</v>
      </c>
      <c r="S23">
        <v>0.15550700000000001</v>
      </c>
      <c r="T23" s="31">
        <v>10573297.066452101</v>
      </c>
    </row>
    <row r="24" spans="1:20" ht="15" x14ac:dyDescent="0.25">
      <c r="A24" s="37">
        <v>42048</v>
      </c>
      <c r="B24" s="38">
        <v>361411.258975</v>
      </c>
      <c r="C24" s="38"/>
      <c r="D24" s="38">
        <f t="shared" si="0"/>
        <v>11501344.653016584</v>
      </c>
      <c r="F24" s="39">
        <f t="shared" si="4"/>
        <v>89964.777085503156</v>
      </c>
      <c r="J24" s="37">
        <v>42048</v>
      </c>
      <c r="K24" s="38">
        <v>361411.258975</v>
      </c>
      <c r="L24" s="38"/>
      <c r="M24" s="40">
        <f t="shared" si="1"/>
        <v>10622940.881825894</v>
      </c>
      <c r="N24" s="57">
        <f t="shared" si="2"/>
        <v>0.15645100000000001</v>
      </c>
      <c r="P24" s="39">
        <f t="shared" si="3"/>
        <v>49644.15456648235</v>
      </c>
      <c r="Q24" s="31">
        <v>49644.913434967501</v>
      </c>
      <c r="S24">
        <v>0.15645100000000001</v>
      </c>
      <c r="T24" s="31">
        <v>10622941.979886999</v>
      </c>
    </row>
    <row r="25" spans="1:20" ht="15" x14ac:dyDescent="0.25">
      <c r="A25" s="37">
        <v>42137</v>
      </c>
      <c r="B25" s="38">
        <v>361411.258975</v>
      </c>
      <c r="C25" s="38"/>
      <c r="D25" s="38">
        <f t="shared" si="0"/>
        <v>11594867.978227505</v>
      </c>
      <c r="F25" s="39">
        <f t="shared" si="4"/>
        <v>93523.325210920593</v>
      </c>
      <c r="J25" s="37">
        <v>42137</v>
      </c>
      <c r="K25" s="38">
        <v>361411.258975</v>
      </c>
      <c r="L25" s="38"/>
      <c r="M25" s="40">
        <f t="shared" si="1"/>
        <v>10677022.05382653</v>
      </c>
      <c r="N25" s="57">
        <f t="shared" si="2"/>
        <v>0.157441</v>
      </c>
      <c r="P25" s="39">
        <f t="shared" si="3"/>
        <v>54081.172000635765</v>
      </c>
      <c r="Q25" s="31">
        <v>54081.657739607203</v>
      </c>
      <c r="S25">
        <v>0.157441</v>
      </c>
      <c r="T25" s="31">
        <v>10677023.6376266</v>
      </c>
    </row>
    <row r="26" spans="1:20" ht="15" x14ac:dyDescent="0.25">
      <c r="A26" s="37">
        <v>42229</v>
      </c>
      <c r="B26" s="38">
        <v>361411.258975</v>
      </c>
      <c r="C26" s="38"/>
      <c r="D26" s="38">
        <f t="shared" si="0"/>
        <v>11692090.609593499</v>
      </c>
      <c r="F26" s="39">
        <f t="shared" si="4"/>
        <v>97222.631365993177</v>
      </c>
      <c r="J26" s="37">
        <v>42229</v>
      </c>
      <c r="K26" s="38">
        <v>361411.258975</v>
      </c>
      <c r="L26" s="38"/>
      <c r="M26" s="40">
        <f t="shared" si="1"/>
        <v>10735861.052145654</v>
      </c>
      <c r="N26" s="57">
        <f t="shared" si="2"/>
        <v>0.15848499999999999</v>
      </c>
      <c r="P26" s="39">
        <f t="shared" si="3"/>
        <v>58838.998319125676</v>
      </c>
      <c r="Q26" s="31">
        <v>58839.549585500397</v>
      </c>
      <c r="S26">
        <v>0.15848499999999999</v>
      </c>
      <c r="T26" s="31">
        <v>10735863.1872121</v>
      </c>
    </row>
    <row r="27" spans="1:20" ht="15" x14ac:dyDescent="0.25">
      <c r="A27" s="37">
        <v>42321</v>
      </c>
      <c r="B27" s="38">
        <v>361411.258975</v>
      </c>
      <c r="C27" s="38"/>
      <c r="D27" s="38">
        <f t="shared" si="0"/>
        <v>11793158.872814577</v>
      </c>
      <c r="F27" s="39">
        <f t="shared" si="4"/>
        <v>101068.26322107797</v>
      </c>
      <c r="J27" s="37">
        <v>42321</v>
      </c>
      <c r="K27" s="38">
        <v>361411.258975</v>
      </c>
      <c r="L27" s="38"/>
      <c r="M27" s="40">
        <f t="shared" si="1"/>
        <v>10799818.02788298</v>
      </c>
      <c r="N27" s="57">
        <f t="shared" si="2"/>
        <v>0.15959499999999999</v>
      </c>
      <c r="P27" s="39">
        <f t="shared" si="3"/>
        <v>63956.975737325964</v>
      </c>
      <c r="Q27" s="31">
        <v>63957.124773349402</v>
      </c>
      <c r="S27">
        <v>0.15959499999999999</v>
      </c>
      <c r="T27" s="31">
        <v>10799820.3119855</v>
      </c>
    </row>
    <row r="28" spans="1:20" ht="15" x14ac:dyDescent="0.25">
      <c r="A28" s="37">
        <v>42413</v>
      </c>
      <c r="B28" s="38">
        <v>361411.258975</v>
      </c>
      <c r="C28" s="38"/>
      <c r="D28" s="38">
        <f t="shared" si="0"/>
        <v>11898224.881489776</v>
      </c>
      <c r="F28" s="39">
        <f t="shared" si="4"/>
        <v>105066.00867519883</v>
      </c>
      <c r="J28" s="37">
        <v>42413</v>
      </c>
      <c r="K28" s="38">
        <v>361411.258975</v>
      </c>
      <c r="L28" s="38"/>
      <c r="M28" s="40">
        <f t="shared" si="1"/>
        <v>10869306.008447977</v>
      </c>
      <c r="N28" s="57">
        <f t="shared" si="2"/>
        <v>0.160797</v>
      </c>
      <c r="P28" s="39">
        <f t="shared" si="3"/>
        <v>69487.980564996018</v>
      </c>
      <c r="Q28" s="31">
        <v>69489.206974943794</v>
      </c>
      <c r="S28">
        <v>0.160797</v>
      </c>
      <c r="T28" s="31">
        <v>10869309.5189604</v>
      </c>
    </row>
    <row r="29" spans="1:20" ht="15" x14ac:dyDescent="0.25">
      <c r="A29" s="37">
        <v>42503</v>
      </c>
      <c r="B29" s="38">
        <v>361411.258975</v>
      </c>
      <c r="C29" s="38"/>
      <c r="D29" s="38">
        <f t="shared" si="0"/>
        <v>12007446.766056946</v>
      </c>
      <c r="F29" s="39">
        <f t="shared" si="4"/>
        <v>109221.88456717023</v>
      </c>
      <c r="J29" s="37">
        <v>42503</v>
      </c>
      <c r="K29" s="38">
        <v>361411.258975</v>
      </c>
      <c r="L29" s="38"/>
      <c r="M29" s="40">
        <f t="shared" si="1"/>
        <v>10944832.69903308</v>
      </c>
      <c r="N29" s="57">
        <f t="shared" si="2"/>
        <v>0.16214799999999999</v>
      </c>
      <c r="P29" s="39">
        <f t="shared" si="3"/>
        <v>75526.690585102304</v>
      </c>
      <c r="Q29" s="31">
        <v>75526.055065733293</v>
      </c>
      <c r="S29">
        <v>0.16214799999999999</v>
      </c>
      <c r="T29" s="31">
        <v>10944835.574026201</v>
      </c>
    </row>
    <row r="30" spans="1:20" ht="15" x14ac:dyDescent="0.25">
      <c r="A30" s="37">
        <v>42595</v>
      </c>
      <c r="B30" s="38">
        <v>361411.258975</v>
      </c>
      <c r="C30" s="38"/>
      <c r="D30" s="38">
        <f t="shared" si="0"/>
        <v>12120988.911788234</v>
      </c>
      <c r="F30" s="39">
        <f t="shared" si="4"/>
        <v>113542.14573128859</v>
      </c>
      <c r="J30" s="37">
        <v>42595</v>
      </c>
      <c r="K30" s="38">
        <v>361411.258975</v>
      </c>
      <c r="L30" s="38"/>
      <c r="M30" s="40">
        <f t="shared" si="1"/>
        <v>11027092.123178784</v>
      </c>
      <c r="N30" s="57">
        <f t="shared" si="2"/>
        <v>0.16387499999999999</v>
      </c>
      <c r="P30" s="39">
        <f t="shared" si="3"/>
        <v>82259.424145703902</v>
      </c>
      <c r="Q30" s="31">
        <v>82258.449461831493</v>
      </c>
      <c r="S30">
        <v>0.16387499999999999</v>
      </c>
      <c r="T30" s="31">
        <v>11027094.023488</v>
      </c>
    </row>
    <row r="31" spans="1:20" ht="15" x14ac:dyDescent="0.25">
      <c r="A31" s="37">
        <v>42687</v>
      </c>
      <c r="B31" s="38">
        <v>361411.258975</v>
      </c>
      <c r="C31" s="38"/>
      <c r="D31" s="42">
        <f t="shared" si="0"/>
        <v>12239022.206199456</v>
      </c>
      <c r="F31" s="39">
        <f t="shared" si="4"/>
        <v>118033.29441122082</v>
      </c>
      <c r="J31" s="37">
        <v>42687</v>
      </c>
      <c r="K31" s="38">
        <v>361411.258975</v>
      </c>
      <c r="L31" s="38"/>
      <c r="M31" s="43">
        <f t="shared" si="1"/>
        <v>11117447.044625264</v>
      </c>
      <c r="N31" s="57"/>
      <c r="P31" s="39">
        <f t="shared" si="3"/>
        <v>90354.921446480788</v>
      </c>
      <c r="Q31" s="31">
        <v>93252.406511962196</v>
      </c>
    </row>
    <row r="32" spans="1:20" x14ac:dyDescent="0.2">
      <c r="F32" s="39">
        <f>SUM(F4:F31)</f>
        <v>2055126.0061994537</v>
      </c>
      <c r="M32" s="44"/>
      <c r="P32" s="39" t="s">
        <v>82</v>
      </c>
    </row>
    <row r="33" spans="16:18" x14ac:dyDescent="0.2">
      <c r="P33" s="39">
        <f>SUM(P4:P32)</f>
        <v>933550.84462527186</v>
      </c>
    </row>
    <row r="34" spans="16:18" x14ac:dyDescent="0.2">
      <c r="R34" s="39"/>
    </row>
    <row r="36" spans="16:18" x14ac:dyDescent="0.2">
      <c r="P36" s="39">
        <f>+P33-L1</f>
        <v>-2899.3853747304529</v>
      </c>
      <c r="Q36" s="34" t="s">
        <v>91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Terms </vt:lpstr>
      <vt:lpstr>Carry Value Proof </vt:lpstr>
      <vt:lpstr>get Rates</vt:lpstr>
      <vt:lpstr>Formula Metod defined</vt:lpstr>
      <vt:lpstr>using log rates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Rebecca</dc:creator>
  <cp:lastModifiedBy>Netzband, Fred</cp:lastModifiedBy>
  <dcterms:created xsi:type="dcterms:W3CDTF">2015-01-29T22:42:13Z</dcterms:created>
  <dcterms:modified xsi:type="dcterms:W3CDTF">2015-09-08T15:01:53Z</dcterms:modified>
</cp:coreProperties>
</file>