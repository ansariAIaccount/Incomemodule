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5195" windowHeight="9465" activeTab="3"/>
  </bookViews>
  <sheets>
    <sheet name="Terms " sheetId="18" r:id="rId1"/>
    <sheet name="XIRR " sheetId="16" r:id="rId2"/>
    <sheet name="Carry Value Proof " sheetId="21" r:id="rId3"/>
    <sheet name="Iteration 1" sheetId="2" r:id="rId4"/>
    <sheet name="Iteration 2 " sheetId="3" r:id="rId5"/>
    <sheet name="Iteration 3 " sheetId="4" r:id="rId6"/>
    <sheet name="Get Rate for Iteration 4" sheetId="10" r:id="rId7"/>
    <sheet name="Iteration 4 " sheetId="5" r:id="rId8"/>
    <sheet name="Get Rate for Iteration 5" sheetId="11" r:id="rId9"/>
    <sheet name="Iteration 5 " sheetId="6" r:id="rId10"/>
    <sheet name="Get Rate for Iteration 6" sheetId="12" r:id="rId11"/>
    <sheet name="Iteration 6" sheetId="7" r:id="rId12"/>
    <sheet name="Get Rate for Iteration 7 " sheetId="13" r:id="rId13"/>
    <sheet name="Iteration 7 " sheetId="1" r:id="rId14"/>
    <sheet name="Get Rate for Iteration 8 " sheetId="14" r:id="rId15"/>
    <sheet name="Iteration 8 " sheetId="8" r:id="rId16"/>
    <sheet name="Get Rate for Iteration 9 " sheetId="15" r:id="rId17"/>
    <sheet name="Iteration 9 " sheetId="9" r:id="rId18"/>
  </sheets>
  <calcPr calcId="125725"/>
</workbook>
</file>

<file path=xl/calcChain.xml><?xml version="1.0" encoding="utf-8"?>
<calcChain xmlns="http://schemas.openxmlformats.org/spreadsheetml/2006/main">
  <c r="O32" i="21"/>
  <c r="O5"/>
  <c r="O4"/>
  <c r="M4" s="1"/>
  <c r="N3"/>
  <c r="E3"/>
  <c r="M5" l="1"/>
  <c r="O6" s="1"/>
  <c r="F4"/>
  <c r="D4" l="1"/>
  <c r="M6" l="1"/>
  <c r="O7" s="1"/>
  <c r="D5"/>
  <c r="F5"/>
  <c r="D6" l="1"/>
  <c r="F6"/>
  <c r="M7" l="1"/>
  <c r="O8" s="1"/>
  <c r="F7"/>
  <c r="M8" l="1"/>
  <c r="O9" s="1"/>
  <c r="D7"/>
  <c r="M9" l="1"/>
  <c r="O10" s="1"/>
  <c r="F8"/>
  <c r="D8" s="1"/>
  <c r="M10" l="1"/>
  <c r="O11" s="1"/>
  <c r="F9"/>
  <c r="D9" s="1"/>
  <c r="M11" l="1"/>
  <c r="O12" s="1"/>
  <c r="F10"/>
  <c r="D10" s="1"/>
  <c r="M12" l="1"/>
  <c r="O13" s="1"/>
  <c r="F11"/>
  <c r="D11" s="1"/>
  <c r="M13" l="1"/>
  <c r="O14" s="1"/>
  <c r="D12"/>
  <c r="F12"/>
  <c r="M14" l="1"/>
  <c r="O15" s="1"/>
  <c r="F13"/>
  <c r="D13" s="1"/>
  <c r="M15" l="1"/>
  <c r="O16" s="1"/>
  <c r="F14"/>
  <c r="D14" s="1"/>
  <c r="M16" l="1"/>
  <c r="O17" s="1"/>
  <c r="F15"/>
  <c r="D15" s="1"/>
  <c r="M17" l="1"/>
  <c r="O18" s="1"/>
  <c r="F16"/>
  <c r="D16" s="1"/>
  <c r="M18" l="1"/>
  <c r="O19" s="1"/>
  <c r="F17"/>
  <c r="D17" s="1"/>
  <c r="M19" l="1"/>
  <c r="O20" s="1"/>
  <c r="F18"/>
  <c r="D18" s="1"/>
  <c r="M20" l="1"/>
  <c r="O21" s="1"/>
  <c r="F19"/>
  <c r="D19" s="1"/>
  <c r="M21" l="1"/>
  <c r="O22" s="1"/>
  <c r="D20"/>
  <c r="F20"/>
  <c r="M22" l="1"/>
  <c r="O23" s="1"/>
  <c r="F21"/>
  <c r="D21" s="1"/>
  <c r="M23" l="1"/>
  <c r="O24" s="1"/>
  <c r="F22"/>
  <c r="D22" s="1"/>
  <c r="M24" l="1"/>
  <c r="O25" s="1"/>
  <c r="F23"/>
  <c r="D23" s="1"/>
  <c r="M25" l="1"/>
  <c r="O26" s="1"/>
  <c r="F24"/>
  <c r="D24" s="1"/>
  <c r="M26" l="1"/>
  <c r="O27" s="1"/>
  <c r="D25"/>
  <c r="F25"/>
  <c r="M27" l="1"/>
  <c r="O28" s="1"/>
  <c r="F26"/>
  <c r="D26" s="1"/>
  <c r="M28" l="1"/>
  <c r="O29" s="1"/>
  <c r="F27"/>
  <c r="D27" s="1"/>
  <c r="M29" l="1"/>
  <c r="O30" s="1"/>
  <c r="F28"/>
  <c r="D28" s="1"/>
  <c r="M30" l="1"/>
  <c r="O31" s="1"/>
  <c r="F29"/>
  <c r="D29" s="1"/>
  <c r="F30" l="1"/>
  <c r="D30" s="1"/>
  <c r="B8" i="18"/>
  <c r="B4"/>
  <c r="C2" i="16"/>
  <c r="M31" i="21" l="1"/>
  <c r="D31"/>
  <c r="F31"/>
  <c r="F32" s="1"/>
  <c r="G2" i="9"/>
  <c r="G2" i="8"/>
  <c r="G2" i="1"/>
  <c r="G2" i="7"/>
  <c r="G2" i="6"/>
  <c r="G2" i="5"/>
  <c r="C9" i="4"/>
  <c r="D9" s="1"/>
  <c r="E9" s="1"/>
  <c r="C10"/>
  <c r="D10" s="1"/>
  <c r="E10" s="1"/>
  <c r="C11"/>
  <c r="D11" s="1"/>
  <c r="E11" s="1"/>
  <c r="C12"/>
  <c r="D12" s="1"/>
  <c r="E12" s="1"/>
  <c r="C13"/>
  <c r="D13" s="1"/>
  <c r="E13" s="1"/>
  <c r="C14"/>
  <c r="D14" s="1"/>
  <c r="E14" s="1"/>
  <c r="C15"/>
  <c r="D15" s="1"/>
  <c r="E15" s="1"/>
  <c r="C16"/>
  <c r="D16" s="1"/>
  <c r="E16" s="1"/>
  <c r="C17"/>
  <c r="D17" s="1"/>
  <c r="E17" s="1"/>
  <c r="C18"/>
  <c r="D18" s="1"/>
  <c r="E18" s="1"/>
  <c r="C19"/>
  <c r="D19" s="1"/>
  <c r="E19" s="1"/>
  <c r="C20"/>
  <c r="D20" s="1"/>
  <c r="E20" s="1"/>
  <c r="C21"/>
  <c r="D21" s="1"/>
  <c r="E21" s="1"/>
  <c r="C22"/>
  <c r="D22" s="1"/>
  <c r="E22" s="1"/>
  <c r="C23"/>
  <c r="D23" s="1"/>
  <c r="E23" s="1"/>
  <c r="C24"/>
  <c r="D24" s="1"/>
  <c r="E24" s="1"/>
  <c r="C25"/>
  <c r="D25" s="1"/>
  <c r="E25" s="1"/>
  <c r="C26"/>
  <c r="D26" s="1"/>
  <c r="E26" s="1"/>
  <c r="C27"/>
  <c r="D27" s="1"/>
  <c r="E27" s="1"/>
  <c r="C28"/>
  <c r="D28" s="1"/>
  <c r="E28" s="1"/>
  <c r="C29"/>
  <c r="D29" s="1"/>
  <c r="E29" s="1"/>
  <c r="C30"/>
  <c r="D30" s="1"/>
  <c r="E30" s="1"/>
  <c r="G2"/>
  <c r="C9" i="3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D9"/>
  <c r="E9" s="1"/>
  <c r="D10"/>
  <c r="E10"/>
  <c r="D11"/>
  <c r="E11" s="1"/>
  <c r="D12"/>
  <c r="E12" s="1"/>
  <c r="D13"/>
  <c r="E13" s="1"/>
  <c r="D14"/>
  <c r="E14" s="1"/>
  <c r="D15"/>
  <c r="E15" s="1"/>
  <c r="D16"/>
  <c r="E16" s="1"/>
  <c r="D17"/>
  <c r="E17" s="1"/>
  <c r="D18"/>
  <c r="E18"/>
  <c r="D19"/>
  <c r="E19" s="1"/>
  <c r="D20"/>
  <c r="E20" s="1"/>
  <c r="D21"/>
  <c r="E21" s="1"/>
  <c r="D22"/>
  <c r="E22" s="1"/>
  <c r="D23"/>
  <c r="E23" s="1"/>
  <c r="D24"/>
  <c r="E24" s="1"/>
  <c r="D25"/>
  <c r="E25" s="1"/>
  <c r="D26"/>
  <c r="E26"/>
  <c r="D27"/>
  <c r="E27" s="1"/>
  <c r="D28"/>
  <c r="E28" s="1"/>
  <c r="D29"/>
  <c r="E29" s="1"/>
  <c r="D30"/>
  <c r="E30" s="1"/>
  <c r="G2"/>
  <c r="E9" i="2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G2"/>
  <c r="D5" i="4"/>
  <c r="E5" s="1"/>
  <c r="D3"/>
  <c r="E3" s="1"/>
  <c r="D8" i="3"/>
  <c r="E8" s="1"/>
  <c r="D6"/>
  <c r="D4"/>
  <c r="E4" s="1"/>
  <c r="C3"/>
  <c r="D3" s="1"/>
  <c r="E3" s="1"/>
  <c r="C4"/>
  <c r="C5"/>
  <c r="D5" s="1"/>
  <c r="E5" s="1"/>
  <c r="C6"/>
  <c r="C7"/>
  <c r="D7" s="1"/>
  <c r="E7" s="1"/>
  <c r="C8"/>
  <c r="C2"/>
  <c r="D2" s="1"/>
  <c r="E2" s="1"/>
  <c r="F2" s="1"/>
  <c r="C3" i="4"/>
  <c r="C4"/>
  <c r="D4" s="1"/>
  <c r="E4" s="1"/>
  <c r="C5"/>
  <c r="C6"/>
  <c r="D6" s="1"/>
  <c r="E6" s="1"/>
  <c r="C7"/>
  <c r="D7" s="1"/>
  <c r="E7" s="1"/>
  <c r="C8"/>
  <c r="D8" s="1"/>
  <c r="E8" s="1"/>
  <c r="C2"/>
  <c r="B6" i="11" s="1"/>
  <c r="E6" i="3"/>
  <c r="E8" i="2"/>
  <c r="E7"/>
  <c r="E6"/>
  <c r="E5"/>
  <c r="E4"/>
  <c r="E3"/>
  <c r="E2"/>
  <c r="F2" s="1"/>
  <c r="D2" i="4" l="1"/>
  <c r="E2" s="1"/>
  <c r="F2" s="1"/>
  <c r="F3" s="1"/>
  <c r="F4" s="1"/>
  <c r="F5" s="1"/>
  <c r="F6" s="1"/>
  <c r="F7" s="1"/>
  <c r="F8" s="1"/>
  <c r="F9"/>
  <c r="F10" s="1"/>
  <c r="F1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" i="3"/>
  <c r="F4" s="1"/>
  <c r="F5" s="1"/>
  <c r="F6" s="1"/>
  <c r="F7" s="1"/>
  <c r="F8" s="1"/>
  <c r="F3" i="2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B8" i="11" l="1"/>
  <c r="B7" i="10"/>
  <c r="B4" s="1"/>
  <c r="F9" i="3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B8" i="10" s="1"/>
  <c r="C9" i="5" l="1"/>
  <c r="D9" s="1"/>
  <c r="E9" s="1"/>
  <c r="C11"/>
  <c r="D11" s="1"/>
  <c r="E11" s="1"/>
  <c r="C13"/>
  <c r="D13" s="1"/>
  <c r="E13" s="1"/>
  <c r="C15"/>
  <c r="D15" s="1"/>
  <c r="E15" s="1"/>
  <c r="C17"/>
  <c r="D17" s="1"/>
  <c r="E17" s="1"/>
  <c r="C19"/>
  <c r="D19" s="1"/>
  <c r="E19" s="1"/>
  <c r="C21"/>
  <c r="D21" s="1"/>
  <c r="E21" s="1"/>
  <c r="C23"/>
  <c r="D23" s="1"/>
  <c r="E23" s="1"/>
  <c r="C25"/>
  <c r="D25" s="1"/>
  <c r="E25" s="1"/>
  <c r="C27"/>
  <c r="D27" s="1"/>
  <c r="E27" s="1"/>
  <c r="C29"/>
  <c r="D29" s="1"/>
  <c r="E29" s="1"/>
  <c r="C2"/>
  <c r="C4"/>
  <c r="D4" s="1"/>
  <c r="E4" s="1"/>
  <c r="C6"/>
  <c r="D6" s="1"/>
  <c r="E6" s="1"/>
  <c r="C8"/>
  <c r="D8" s="1"/>
  <c r="E8" s="1"/>
  <c r="C10"/>
  <c r="D10" s="1"/>
  <c r="E10" s="1"/>
  <c r="C12"/>
  <c r="D12" s="1"/>
  <c r="E12" s="1"/>
  <c r="C14"/>
  <c r="D14" s="1"/>
  <c r="E14" s="1"/>
  <c r="C16"/>
  <c r="D16" s="1"/>
  <c r="E16" s="1"/>
  <c r="C18"/>
  <c r="D18" s="1"/>
  <c r="E18" s="1"/>
  <c r="C20"/>
  <c r="D20" s="1"/>
  <c r="E20" s="1"/>
  <c r="C22"/>
  <c r="D22" s="1"/>
  <c r="E22" s="1"/>
  <c r="C24"/>
  <c r="D24" s="1"/>
  <c r="E24" s="1"/>
  <c r="C26"/>
  <c r="D26" s="1"/>
  <c r="E26" s="1"/>
  <c r="C28"/>
  <c r="D28" s="1"/>
  <c r="E28" s="1"/>
  <c r="C30"/>
  <c r="D30" s="1"/>
  <c r="E30" s="1"/>
  <c r="C3"/>
  <c r="D3" s="1"/>
  <c r="E3" s="1"/>
  <c r="C5"/>
  <c r="D5" s="1"/>
  <c r="E5" s="1"/>
  <c r="C7"/>
  <c r="D7" s="1"/>
  <c r="E7" s="1"/>
  <c r="D2"/>
  <c r="E2" s="1"/>
  <c r="F2" s="1"/>
  <c r="B6" i="12"/>
  <c r="B5" i="11"/>
  <c r="F3" i="5" l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B8" i="12" l="1"/>
  <c r="B7" i="11"/>
  <c r="B4" s="1"/>
  <c r="C3" i="6" s="1"/>
  <c r="D3" s="1"/>
  <c r="E3" s="1"/>
  <c r="C2"/>
  <c r="C8"/>
  <c r="D8" s="1"/>
  <c r="E8" s="1"/>
  <c r="C6" l="1"/>
  <c r="D6" s="1"/>
  <c r="E6" s="1"/>
  <c r="C5"/>
  <c r="D5" s="1"/>
  <c r="E5" s="1"/>
  <c r="C4"/>
  <c r="D4" s="1"/>
  <c r="E4" s="1"/>
  <c r="C7"/>
  <c r="D7" s="1"/>
  <c r="E7" s="1"/>
  <c r="C9"/>
  <c r="D9" s="1"/>
  <c r="E9" s="1"/>
  <c r="C11"/>
  <c r="D11" s="1"/>
  <c r="E11" s="1"/>
  <c r="C13"/>
  <c r="D13" s="1"/>
  <c r="E13" s="1"/>
  <c r="C15"/>
  <c r="D15" s="1"/>
  <c r="E15" s="1"/>
  <c r="C17"/>
  <c r="D17" s="1"/>
  <c r="E17" s="1"/>
  <c r="C19"/>
  <c r="D19" s="1"/>
  <c r="E19" s="1"/>
  <c r="C21"/>
  <c r="D21" s="1"/>
  <c r="E21" s="1"/>
  <c r="C23"/>
  <c r="D23" s="1"/>
  <c r="E23" s="1"/>
  <c r="C25"/>
  <c r="D25" s="1"/>
  <c r="E25" s="1"/>
  <c r="C27"/>
  <c r="D27" s="1"/>
  <c r="E27" s="1"/>
  <c r="C29"/>
  <c r="D29" s="1"/>
  <c r="E29" s="1"/>
  <c r="C10"/>
  <c r="D10" s="1"/>
  <c r="E10" s="1"/>
  <c r="C12"/>
  <c r="D12" s="1"/>
  <c r="E12" s="1"/>
  <c r="C14"/>
  <c r="D14" s="1"/>
  <c r="E14" s="1"/>
  <c r="C16"/>
  <c r="D16" s="1"/>
  <c r="E16" s="1"/>
  <c r="C18"/>
  <c r="D18" s="1"/>
  <c r="E18" s="1"/>
  <c r="C20"/>
  <c r="D20" s="1"/>
  <c r="E20" s="1"/>
  <c r="C22"/>
  <c r="D22" s="1"/>
  <c r="E22" s="1"/>
  <c r="C24"/>
  <c r="D24" s="1"/>
  <c r="E24" s="1"/>
  <c r="C26"/>
  <c r="D26" s="1"/>
  <c r="E26" s="1"/>
  <c r="C28"/>
  <c r="D28" s="1"/>
  <c r="E28" s="1"/>
  <c r="C30"/>
  <c r="D30" s="1"/>
  <c r="E30" s="1"/>
  <c r="D2"/>
  <c r="E2" s="1"/>
  <c r="F2" s="1"/>
  <c r="F3" s="1"/>
  <c r="F4" s="1"/>
  <c r="F5" s="1"/>
  <c r="F6" s="1"/>
  <c r="F7" s="1"/>
  <c r="F8" s="1"/>
  <c r="B6" i="13"/>
  <c r="B5" i="12"/>
  <c r="F9" i="6" l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B8" i="13" l="1"/>
  <c r="B7" i="12"/>
  <c r="B4" s="1"/>
  <c r="C4" i="7" s="1"/>
  <c r="D4" s="1"/>
  <c r="E4" s="1"/>
  <c r="C3"/>
  <c r="D3" s="1"/>
  <c r="E3" s="1"/>
  <c r="C7"/>
  <c r="D7" s="1"/>
  <c r="E7" s="1"/>
  <c r="C2"/>
  <c r="C6" l="1"/>
  <c r="D6" s="1"/>
  <c r="E6" s="1"/>
  <c r="C5"/>
  <c r="D5" s="1"/>
  <c r="E5" s="1"/>
  <c r="C8"/>
  <c r="D8" s="1"/>
  <c r="E8" s="1"/>
  <c r="C10"/>
  <c r="D10" s="1"/>
  <c r="E10" s="1"/>
  <c r="C12"/>
  <c r="D12" s="1"/>
  <c r="E12" s="1"/>
  <c r="C14"/>
  <c r="D14" s="1"/>
  <c r="E14" s="1"/>
  <c r="C16"/>
  <c r="D16" s="1"/>
  <c r="E16" s="1"/>
  <c r="C18"/>
  <c r="D18" s="1"/>
  <c r="E18" s="1"/>
  <c r="C20"/>
  <c r="D20" s="1"/>
  <c r="E20" s="1"/>
  <c r="C22"/>
  <c r="D22" s="1"/>
  <c r="E22" s="1"/>
  <c r="C24"/>
  <c r="D24" s="1"/>
  <c r="E24" s="1"/>
  <c r="C26"/>
  <c r="D26" s="1"/>
  <c r="E26" s="1"/>
  <c r="C28"/>
  <c r="D28" s="1"/>
  <c r="E28" s="1"/>
  <c r="C30"/>
  <c r="D30" s="1"/>
  <c r="E30" s="1"/>
  <c r="C9"/>
  <c r="D9" s="1"/>
  <c r="E9" s="1"/>
  <c r="C11"/>
  <c r="D11" s="1"/>
  <c r="E11" s="1"/>
  <c r="C13"/>
  <c r="D13" s="1"/>
  <c r="E13" s="1"/>
  <c r="C15"/>
  <c r="D15" s="1"/>
  <c r="E15" s="1"/>
  <c r="C17"/>
  <c r="D17" s="1"/>
  <c r="E17" s="1"/>
  <c r="C19"/>
  <c r="D19" s="1"/>
  <c r="E19" s="1"/>
  <c r="C21"/>
  <c r="D21" s="1"/>
  <c r="E21" s="1"/>
  <c r="C23"/>
  <c r="D23" s="1"/>
  <c r="E23" s="1"/>
  <c r="C25"/>
  <c r="D25" s="1"/>
  <c r="E25" s="1"/>
  <c r="C27"/>
  <c r="D27" s="1"/>
  <c r="E27" s="1"/>
  <c r="C29"/>
  <c r="D29" s="1"/>
  <c r="E29" s="1"/>
  <c r="B5" i="13"/>
  <c r="B6" i="14"/>
  <c r="D2" i="7"/>
  <c r="E2" s="1"/>
  <c r="F2" s="1"/>
  <c r="F3" s="1"/>
  <c r="F4" s="1"/>
  <c r="F5" s="1"/>
  <c r="F6" s="1"/>
  <c r="F7" s="1"/>
  <c r="F8" s="1"/>
  <c r="F9" l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B7" i="13" l="1"/>
  <c r="B4" s="1"/>
  <c r="C5" i="1" s="1"/>
  <c r="D5" s="1"/>
  <c r="E5" s="1"/>
  <c r="B8" i="14"/>
  <c r="C4" i="1"/>
  <c r="D4" s="1"/>
  <c r="E4" s="1"/>
  <c r="C2"/>
  <c r="C7"/>
  <c r="D7" s="1"/>
  <c r="E7" s="1"/>
  <c r="C6" l="1"/>
  <c r="D6" s="1"/>
  <c r="E6" s="1"/>
  <c r="C3"/>
  <c r="D3" s="1"/>
  <c r="E3" s="1"/>
  <c r="C10"/>
  <c r="D10" s="1"/>
  <c r="E10" s="1"/>
  <c r="C12"/>
  <c r="D12" s="1"/>
  <c r="E12" s="1"/>
  <c r="C14"/>
  <c r="D14" s="1"/>
  <c r="E14" s="1"/>
  <c r="C16"/>
  <c r="D16" s="1"/>
  <c r="E16" s="1"/>
  <c r="C18"/>
  <c r="D18" s="1"/>
  <c r="E18" s="1"/>
  <c r="C20"/>
  <c r="D20" s="1"/>
  <c r="E20" s="1"/>
  <c r="C22"/>
  <c r="D22" s="1"/>
  <c r="E22" s="1"/>
  <c r="C24"/>
  <c r="D24" s="1"/>
  <c r="E24" s="1"/>
  <c r="C26"/>
  <c r="D26" s="1"/>
  <c r="E26" s="1"/>
  <c r="C28"/>
  <c r="D28" s="1"/>
  <c r="E28" s="1"/>
  <c r="C30"/>
  <c r="D30" s="1"/>
  <c r="E30" s="1"/>
  <c r="C9"/>
  <c r="D9" s="1"/>
  <c r="E9" s="1"/>
  <c r="C11"/>
  <c r="D11" s="1"/>
  <c r="E11" s="1"/>
  <c r="C13"/>
  <c r="D13" s="1"/>
  <c r="E13" s="1"/>
  <c r="C15"/>
  <c r="D15" s="1"/>
  <c r="E15" s="1"/>
  <c r="C17"/>
  <c r="D17" s="1"/>
  <c r="E17" s="1"/>
  <c r="C19"/>
  <c r="D19" s="1"/>
  <c r="E19" s="1"/>
  <c r="C21"/>
  <c r="D21" s="1"/>
  <c r="E21" s="1"/>
  <c r="C23"/>
  <c r="D23" s="1"/>
  <c r="E23" s="1"/>
  <c r="C25"/>
  <c r="D25" s="1"/>
  <c r="E25" s="1"/>
  <c r="C27"/>
  <c r="D27" s="1"/>
  <c r="E27" s="1"/>
  <c r="C29"/>
  <c r="D29" s="1"/>
  <c r="E29" s="1"/>
  <c r="C8"/>
  <c r="D8" s="1"/>
  <c r="E8" s="1"/>
  <c r="D2"/>
  <c r="E2" s="1"/>
  <c r="F2" s="1"/>
  <c r="F3" s="1"/>
  <c r="F4" s="1"/>
  <c r="F5" s="1"/>
  <c r="F6" s="1"/>
  <c r="F7" s="1"/>
  <c r="B5" i="14"/>
  <c r="B6" i="15"/>
  <c r="F8" i="1" l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B7" i="14" l="1"/>
  <c r="B4" s="1"/>
  <c r="C5" i="8" s="1"/>
  <c r="D5" s="1"/>
  <c r="E5" s="1"/>
  <c r="B8" i="15"/>
  <c r="C4" i="8"/>
  <c r="D4" s="1"/>
  <c r="E4" s="1"/>
  <c r="C2"/>
  <c r="C3"/>
  <c r="D3" s="1"/>
  <c r="E3" s="1"/>
  <c r="C7"/>
  <c r="D7" s="1"/>
  <c r="E7" s="1"/>
  <c r="C6" l="1"/>
  <c r="D6" s="1"/>
  <c r="E6" s="1"/>
  <c r="C10"/>
  <c r="D10" s="1"/>
  <c r="E10" s="1"/>
  <c r="C12"/>
  <c r="D12" s="1"/>
  <c r="E12" s="1"/>
  <c r="C14"/>
  <c r="D14" s="1"/>
  <c r="E14" s="1"/>
  <c r="C16"/>
  <c r="D16" s="1"/>
  <c r="E16" s="1"/>
  <c r="C18"/>
  <c r="D18" s="1"/>
  <c r="E18" s="1"/>
  <c r="C20"/>
  <c r="D20" s="1"/>
  <c r="E20" s="1"/>
  <c r="C22"/>
  <c r="D22" s="1"/>
  <c r="E22" s="1"/>
  <c r="C24"/>
  <c r="D24" s="1"/>
  <c r="E24" s="1"/>
  <c r="C26"/>
  <c r="D26" s="1"/>
  <c r="E26" s="1"/>
  <c r="C28"/>
  <c r="D28" s="1"/>
  <c r="E28" s="1"/>
  <c r="C9"/>
  <c r="D9" s="1"/>
  <c r="E9" s="1"/>
  <c r="C11"/>
  <c r="D11" s="1"/>
  <c r="E11" s="1"/>
  <c r="C13"/>
  <c r="D13" s="1"/>
  <c r="E13" s="1"/>
  <c r="C15"/>
  <c r="D15" s="1"/>
  <c r="E15" s="1"/>
  <c r="C17"/>
  <c r="D17" s="1"/>
  <c r="E17" s="1"/>
  <c r="C19"/>
  <c r="D19" s="1"/>
  <c r="E19" s="1"/>
  <c r="C21"/>
  <c r="D21" s="1"/>
  <c r="E21" s="1"/>
  <c r="C23"/>
  <c r="D23" s="1"/>
  <c r="E23" s="1"/>
  <c r="C25"/>
  <c r="D25" s="1"/>
  <c r="E25" s="1"/>
  <c r="C27"/>
  <c r="D27" s="1"/>
  <c r="E27" s="1"/>
  <c r="C29"/>
  <c r="D29" s="1"/>
  <c r="E29" s="1"/>
  <c r="C30"/>
  <c r="D30" s="1"/>
  <c r="E30" s="1"/>
  <c r="C8"/>
  <c r="D8" s="1"/>
  <c r="E8" s="1"/>
  <c r="B5" i="15"/>
  <c r="D2" i="8"/>
  <c r="E2" s="1"/>
  <c r="F2" s="1"/>
  <c r="F3" s="1"/>
  <c r="F4" s="1"/>
  <c r="F5" s="1"/>
  <c r="F6" s="1"/>
  <c r="F7" s="1"/>
  <c r="F8" s="1"/>
  <c r="F9" l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B7" i="15" s="1"/>
  <c r="B4" s="1"/>
  <c r="C10" i="9" l="1"/>
  <c r="D10" s="1"/>
  <c r="E10" s="1"/>
  <c r="C12"/>
  <c r="D12" s="1"/>
  <c r="E12" s="1"/>
  <c r="C14"/>
  <c r="D14" s="1"/>
  <c r="E14" s="1"/>
  <c r="C16"/>
  <c r="D16" s="1"/>
  <c r="E16" s="1"/>
  <c r="C18"/>
  <c r="D18" s="1"/>
  <c r="E18" s="1"/>
  <c r="C20"/>
  <c r="D20" s="1"/>
  <c r="E20" s="1"/>
  <c r="C22"/>
  <c r="D22" s="1"/>
  <c r="E22" s="1"/>
  <c r="C24"/>
  <c r="D24" s="1"/>
  <c r="E24" s="1"/>
  <c r="C26"/>
  <c r="D26" s="1"/>
  <c r="E26" s="1"/>
  <c r="C28"/>
  <c r="D28" s="1"/>
  <c r="E28" s="1"/>
  <c r="C30"/>
  <c r="D30" s="1"/>
  <c r="E30" s="1"/>
  <c r="C9"/>
  <c r="D9" s="1"/>
  <c r="E9" s="1"/>
  <c r="C11"/>
  <c r="D11" s="1"/>
  <c r="E11" s="1"/>
  <c r="C13"/>
  <c r="D13" s="1"/>
  <c r="E13" s="1"/>
  <c r="C15"/>
  <c r="D15" s="1"/>
  <c r="E15" s="1"/>
  <c r="C17"/>
  <c r="D17" s="1"/>
  <c r="E17" s="1"/>
  <c r="C19"/>
  <c r="D19" s="1"/>
  <c r="E19" s="1"/>
  <c r="C21"/>
  <c r="D21" s="1"/>
  <c r="E21" s="1"/>
  <c r="C23"/>
  <c r="D23" s="1"/>
  <c r="E23" s="1"/>
  <c r="C25"/>
  <c r="D25" s="1"/>
  <c r="E25" s="1"/>
  <c r="C27"/>
  <c r="D27" s="1"/>
  <c r="E27" s="1"/>
  <c r="C29"/>
  <c r="D29" s="1"/>
  <c r="E29" s="1"/>
  <c r="C3"/>
  <c r="D3" s="1"/>
  <c r="E3" s="1"/>
  <c r="C7"/>
  <c r="D7" s="1"/>
  <c r="E7" s="1"/>
  <c r="C4"/>
  <c r="D4" s="1"/>
  <c r="E4" s="1"/>
  <c r="C8"/>
  <c r="D8" s="1"/>
  <c r="E8" s="1"/>
  <c r="C5"/>
  <c r="D5" s="1"/>
  <c r="E5" s="1"/>
  <c r="C6"/>
  <c r="D6" s="1"/>
  <c r="E6" s="1"/>
  <c r="C2"/>
  <c r="D2" s="1"/>
  <c r="E2" s="1"/>
  <c r="F2" s="1"/>
  <c r="F3" s="1"/>
  <c r="F4" s="1"/>
  <c r="F5" s="1"/>
  <c r="F6" l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</calcChain>
</file>

<file path=xl/comments1.xml><?xml version="1.0" encoding="utf-8"?>
<comments xmlns="http://schemas.openxmlformats.org/spreadsheetml/2006/main">
  <authors>
    <author>Fred Netzband</author>
  </authors>
  <commentList>
    <comment ref="E1" authorId="0">
      <text>
        <r>
          <rPr>
            <b/>
            <sz val="8"/>
            <color indexed="81"/>
            <rFont val="Tahoma"/>
            <family val="2"/>
          </rPr>
          <t>Fred Netzband:</t>
        </r>
        <r>
          <rPr>
            <sz val="8"/>
            <color indexed="81"/>
            <rFont val="Tahoma"/>
            <family val="2"/>
          </rPr>
          <t xml:space="preserve">
Rate from AT
IRR Function 
</t>
        </r>
      </text>
    </comment>
    <comment ref="N1" authorId="0">
      <text>
        <r>
          <rPr>
            <b/>
            <sz val="8"/>
            <color indexed="81"/>
            <rFont val="Tahoma"/>
            <family val="2"/>
          </rPr>
          <t>Fred Netzband:</t>
        </r>
        <r>
          <rPr>
            <sz val="8"/>
            <color indexed="81"/>
            <rFont val="Tahoma"/>
            <family val="2"/>
          </rPr>
          <t xml:space="preserve">
Rate from Interest AT PRICE functoin 
</t>
        </r>
      </text>
    </comment>
    <comment ref="M31" authorId="0">
      <text>
        <r>
          <rPr>
            <b/>
            <sz val="8"/>
            <color indexed="81"/>
            <rFont val="Tahoma"/>
            <family val="2"/>
          </rPr>
          <t>Fred Netzband:</t>
        </r>
        <r>
          <rPr>
            <sz val="8"/>
            <color indexed="81"/>
            <rFont val="Tahoma"/>
            <family val="2"/>
          </rPr>
          <t xml:space="preserve">
Discount Fully Amortized Carry Value = Face Value
</t>
        </r>
      </text>
    </comment>
  </commentList>
</comments>
</file>

<file path=xl/sharedStrings.xml><?xml version="1.0" encoding="utf-8"?>
<sst xmlns="http://schemas.openxmlformats.org/spreadsheetml/2006/main" count="165" uniqueCount="55">
  <si>
    <t xml:space="preserve">Cash Flow </t>
  </si>
  <si>
    <t xml:space="preserve">Rate ^ Interval </t>
  </si>
  <si>
    <t xml:space="preserve">IRR Function </t>
  </si>
  <si>
    <t xml:space="preserve">RF IRR Function </t>
  </si>
  <si>
    <t xml:space="preserve">Rate </t>
  </si>
  <si>
    <t xml:space="preserve"> </t>
  </si>
  <si>
    <t xml:space="preserve">Period day fraction </t>
  </si>
  <si>
    <t xml:space="preserve">Period Day Fraction </t>
  </si>
  <si>
    <t>A3 = A2-y2*(a2-a1)/y2-y1</t>
  </si>
  <si>
    <t>a2</t>
  </si>
  <si>
    <t>a1</t>
  </si>
  <si>
    <t xml:space="preserve">A3 </t>
  </si>
  <si>
    <t>y2</t>
  </si>
  <si>
    <t>y1</t>
  </si>
  <si>
    <t xml:space="preserve">Period Day count </t>
  </si>
  <si>
    <t xml:space="preserve">FAIL </t>
  </si>
  <si>
    <t xml:space="preserve">PASS </t>
  </si>
  <si>
    <t>Rate from Iteration 2</t>
  </si>
  <si>
    <t xml:space="preserve">Rate from Iteration 1 </t>
  </si>
  <si>
    <t xml:space="preserve">Result from Iteration 2 </t>
  </si>
  <si>
    <t>Result from Iteration1</t>
  </si>
  <si>
    <t xml:space="preserve">New Rate </t>
  </si>
  <si>
    <t>Rate From Iteration 4</t>
  </si>
  <si>
    <t>Rate from iteration 3</t>
  </si>
  <si>
    <t>result from iteration 4</t>
  </si>
  <si>
    <t xml:space="preserve">result from iteration 3 </t>
  </si>
  <si>
    <t xml:space="preserve">result from iteration 5 </t>
  </si>
  <si>
    <t xml:space="preserve">rate from iteration 5 </t>
  </si>
  <si>
    <t xml:space="preserve">rate from iteration 4 </t>
  </si>
  <si>
    <t>rate from iteration 6</t>
  </si>
  <si>
    <t xml:space="preserve">result from iteration 6 </t>
  </si>
  <si>
    <t>result from iteration 5</t>
  </si>
  <si>
    <t>New Rate</t>
  </si>
  <si>
    <t xml:space="preserve">result from iteration 7 </t>
  </si>
  <si>
    <t xml:space="preserve">rate from iteration 7 </t>
  </si>
  <si>
    <t xml:space="preserve">rate from iteration 6 </t>
  </si>
  <si>
    <t>rate from iteration 8</t>
  </si>
  <si>
    <t xml:space="preserve">result from iteration 8 </t>
  </si>
  <si>
    <t xml:space="preserve">Date </t>
  </si>
  <si>
    <t>XIRR</t>
  </si>
  <si>
    <t xml:space="preserve">Face Value </t>
  </si>
  <si>
    <t xml:space="preserve">Cost </t>
  </si>
  <si>
    <t xml:space="preserve">Coupon Frequency </t>
  </si>
  <si>
    <t>Settlement</t>
  </si>
  <si>
    <t xml:space="preserve">Maturity </t>
  </si>
  <si>
    <t>Rate</t>
  </si>
  <si>
    <t>Price</t>
  </si>
  <si>
    <t>Redemption</t>
  </si>
  <si>
    <t>Day Basis</t>
  </si>
  <si>
    <t xml:space="preserve">Yield </t>
  </si>
  <si>
    <t xml:space="preserve">Carry Value </t>
  </si>
  <si>
    <t xml:space="preserve">Effective Interest Rate </t>
  </si>
  <si>
    <t xml:space="preserve">Disc Amortization </t>
  </si>
  <si>
    <t xml:space="preserve">Day Basis = 30/360 </t>
  </si>
  <si>
    <t>Discount Fully Amortized</t>
  </si>
</sst>
</file>

<file path=xl/styles.xml><?xml version="1.0" encoding="utf-8"?>
<styleSheet xmlns="http://schemas.openxmlformats.org/spreadsheetml/2006/main">
  <numFmts count="11">
    <numFmt numFmtId="43" formatCode="_(* #,##0.00_);_(* \(#,##0.00\);_(* &quot;-&quot;??_);_(@_)"/>
    <numFmt numFmtId="164" formatCode="#,##0.0000"/>
    <numFmt numFmtId="165" formatCode="#,##0.00000"/>
    <numFmt numFmtId="166" formatCode="#,##0.00000000"/>
    <numFmt numFmtId="167" formatCode="_(* #,##0.00000_);_(* \(#,##0.00000\);_(* &quot;-&quot;??_);_(@_)"/>
    <numFmt numFmtId="168" formatCode="_(* #,##0.0000000_);_(* \(#,##0.0000000\);_(* &quot;-&quot;??_);_(@_)"/>
    <numFmt numFmtId="169" formatCode="_(* #,##0.00000000_);_(* \(#,##0.00000000\);_(* &quot;-&quot;??_);_(@_)"/>
    <numFmt numFmtId="170" formatCode="_(* #,##0.00000000000000_);_(* \(#,##0.00000000000000\);_(* &quot;-&quot;??_);_(@_)"/>
    <numFmt numFmtId="171" formatCode="#,##0.00000000_);\(#,##0.00000000\)"/>
    <numFmt numFmtId="172" formatCode="0.000%"/>
    <numFmt numFmtId="173" formatCode="0.000000%"/>
  </numFmts>
  <fonts count="7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4" fillId="0" borderId="0"/>
    <xf numFmtId="0" fontId="3" fillId="0" borderId="0"/>
  </cellStyleXfs>
  <cellXfs count="43">
    <xf numFmtId="0" fontId="0" fillId="0" borderId="0" xfId="0"/>
    <xf numFmtId="0" fontId="0" fillId="0" borderId="0" xfId="0"/>
    <xf numFmtId="0" fontId="0" fillId="2" borderId="0" xfId="0" applyFill="1"/>
    <xf numFmtId="43" fontId="0" fillId="0" borderId="0" xfId="1" applyFont="1"/>
    <xf numFmtId="166" fontId="0" fillId="0" borderId="0" xfId="0" applyNumberFormat="1"/>
    <xf numFmtId="43" fontId="0" fillId="0" borderId="0" xfId="0" applyNumberFormat="1"/>
    <xf numFmtId="167" fontId="0" fillId="0" borderId="0" xfId="0" applyNumberFormat="1"/>
    <xf numFmtId="169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170" fontId="0" fillId="0" borderId="0" xfId="0" applyNumberFormat="1"/>
    <xf numFmtId="43" fontId="0" fillId="2" borderId="0" xfId="1" applyFont="1" applyFill="1"/>
    <xf numFmtId="0" fontId="0" fillId="2" borderId="1" xfId="0" applyFill="1" applyBorder="1"/>
    <xf numFmtId="4" fontId="0" fillId="2" borderId="1" xfId="0" applyNumberFormat="1" applyFill="1" applyBorder="1"/>
    <xf numFmtId="43" fontId="0" fillId="2" borderId="1" xfId="1" applyFont="1" applyFill="1" applyBorder="1"/>
    <xf numFmtId="165" fontId="0" fillId="2" borderId="1" xfId="0" applyNumberFormat="1" applyFill="1" applyBorder="1"/>
    <xf numFmtId="164" fontId="0" fillId="2" borderId="0" xfId="0" applyNumberFormat="1" applyFill="1"/>
    <xf numFmtId="164" fontId="0" fillId="2" borderId="1" xfId="0" applyNumberFormat="1" applyFill="1" applyBorder="1"/>
    <xf numFmtId="3" fontId="0" fillId="2" borderId="1" xfId="0" applyNumberFormat="1" applyFill="1" applyBorder="1"/>
    <xf numFmtId="43" fontId="0" fillId="2" borderId="1" xfId="0" applyNumberFormat="1" applyFill="1" applyBorder="1"/>
    <xf numFmtId="168" fontId="0" fillId="2" borderId="1" xfId="1" applyNumberFormat="1" applyFont="1" applyFill="1" applyBorder="1"/>
    <xf numFmtId="0" fontId="0" fillId="3" borderId="1" xfId="0" applyFill="1" applyBorder="1"/>
    <xf numFmtId="43" fontId="0" fillId="3" borderId="1" xfId="1" applyFont="1" applyFill="1" applyBorder="1"/>
    <xf numFmtId="171" fontId="0" fillId="3" borderId="1" xfId="1" applyNumberFormat="1" applyFont="1" applyFill="1" applyBorder="1"/>
    <xf numFmtId="14" fontId="0" fillId="0" borderId="0" xfId="0" applyNumberFormat="1"/>
    <xf numFmtId="172" fontId="0" fillId="0" borderId="0" xfId="2" applyNumberFormat="1" applyFont="1"/>
    <xf numFmtId="0" fontId="3" fillId="0" borderId="2" xfId="6" applyBorder="1"/>
    <xf numFmtId="14" fontId="3" fillId="0" borderId="2" xfId="6" applyNumberFormat="1" applyBorder="1"/>
    <xf numFmtId="0" fontId="4" fillId="0" borderId="0" xfId="5"/>
    <xf numFmtId="43" fontId="4" fillId="0" borderId="0" xfId="1" applyFont="1"/>
    <xf numFmtId="0" fontId="3" fillId="0" borderId="1" xfId="6" applyBorder="1"/>
    <xf numFmtId="14" fontId="3" fillId="0" borderId="1" xfId="6" applyNumberFormat="1" applyBorder="1"/>
    <xf numFmtId="10" fontId="3" fillId="0" borderId="1" xfId="6" applyNumberFormat="1" applyBorder="1"/>
    <xf numFmtId="0" fontId="3" fillId="4" borderId="1" xfId="6" applyFill="1" applyBorder="1"/>
    <xf numFmtId="43" fontId="4" fillId="0" borderId="1" xfId="1" applyFont="1" applyBorder="1"/>
    <xf numFmtId="0" fontId="0" fillId="2" borderId="0" xfId="0" applyFill="1" applyBorder="1"/>
    <xf numFmtId="43" fontId="0" fillId="5" borderId="0" xfId="1" applyFont="1" applyFill="1"/>
    <xf numFmtId="173" fontId="3" fillId="4" borderId="1" xfId="2" applyNumberFormat="1" applyFont="1" applyFill="1" applyBorder="1"/>
    <xf numFmtId="43" fontId="0" fillId="0" borderId="0" xfId="1" applyFont="1" applyFill="1"/>
    <xf numFmtId="0" fontId="0" fillId="0" borderId="0" xfId="0" applyFill="1"/>
    <xf numFmtId="43" fontId="0" fillId="3" borderId="0" xfId="1" applyFont="1" applyFill="1"/>
  </cellXfs>
  <cellStyles count="7">
    <cellStyle name="Comma" xfId="1" builtinId="3"/>
    <cellStyle name="Normal" xfId="0" builtinId="0"/>
    <cellStyle name="Normal 2" xfId="3"/>
    <cellStyle name="Normal_YIELD " xfId="5"/>
    <cellStyle name="Normal_YIELD _1" xfId="6"/>
    <cellStyle name="Percent" xfId="2" builtinId="5"/>
    <cellStyle name="Percent 2" xfId="4"/>
  </cellStyles>
  <dxfs count="0"/>
  <tableStyles count="0" defaultTableStyle="TableStyleMedium9" defaultPivotStyle="PivotStyleLight16"/>
  <colors>
    <mruColors>
      <color rgb="FF66FF33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>
      <selection activeCell="E23" sqref="E23"/>
    </sheetView>
  </sheetViews>
  <sheetFormatPr defaultRowHeight="12.75"/>
  <cols>
    <col min="1" max="1" width="17.42578125" bestFit="1" customWidth="1"/>
    <col min="2" max="2" width="11.28515625" bestFit="1" customWidth="1"/>
    <col min="3" max="3" width="2.7109375" bestFit="1" customWidth="1"/>
    <col min="4" max="4" width="11" bestFit="1" customWidth="1"/>
    <col min="5" max="6" width="14" bestFit="1" customWidth="1"/>
  </cols>
  <sheetData>
    <row r="1" spans="1:5">
      <c r="A1" s="28" t="s">
        <v>43</v>
      </c>
      <c r="B1" s="29">
        <v>40130</v>
      </c>
      <c r="C1" s="30"/>
      <c r="D1" s="30" t="s">
        <v>41</v>
      </c>
      <c r="E1" s="31">
        <v>10183896.199999999</v>
      </c>
    </row>
    <row r="2" spans="1:5">
      <c r="A2" s="32" t="s">
        <v>44</v>
      </c>
      <c r="B2" s="33">
        <v>42687</v>
      </c>
      <c r="C2" s="30"/>
      <c r="D2" s="30" t="s">
        <v>40</v>
      </c>
      <c r="E2" s="31">
        <v>11120346.43</v>
      </c>
    </row>
    <row r="3" spans="1:5">
      <c r="A3" s="32" t="s">
        <v>45</v>
      </c>
      <c r="B3" s="34">
        <v>0.13</v>
      </c>
      <c r="C3" s="30"/>
      <c r="D3" s="30"/>
      <c r="E3" s="30"/>
    </row>
    <row r="4" spans="1:5">
      <c r="A4" s="32" t="s">
        <v>46</v>
      </c>
      <c r="B4" s="36">
        <f>+E1/E2*100</f>
        <v>91.578947329611211</v>
      </c>
      <c r="C4" s="31" t="s">
        <v>5</v>
      </c>
      <c r="D4" s="30"/>
      <c r="E4" s="30"/>
    </row>
    <row r="5" spans="1:5">
      <c r="A5" s="32" t="s">
        <v>47</v>
      </c>
      <c r="B5" s="32">
        <v>100</v>
      </c>
      <c r="C5" s="30"/>
      <c r="D5" s="30"/>
      <c r="E5" s="30"/>
    </row>
    <row r="6" spans="1:5">
      <c r="A6" s="32" t="s">
        <v>42</v>
      </c>
      <c r="B6" s="32">
        <v>4</v>
      </c>
      <c r="C6" s="30"/>
      <c r="D6" s="30"/>
      <c r="E6" s="30"/>
    </row>
    <row r="7" spans="1:5">
      <c r="A7" s="32" t="s">
        <v>48</v>
      </c>
      <c r="B7" s="32">
        <v>0</v>
      </c>
      <c r="C7" s="30"/>
      <c r="D7" s="30"/>
      <c r="E7" s="30"/>
    </row>
    <row r="8" spans="1:5">
      <c r="A8" s="35" t="s">
        <v>49</v>
      </c>
      <c r="B8" s="39">
        <f>YIELD(B1,B2,B3,B4,B5,B6,B7)</f>
        <v>0.1496141923890319</v>
      </c>
      <c r="C8" s="30"/>
      <c r="D8" s="30"/>
      <c r="E8" s="30"/>
    </row>
    <row r="30" spans="6:6">
      <c r="F3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>
      <selection sqref="A1:B30"/>
    </sheetView>
  </sheetViews>
  <sheetFormatPr defaultRowHeight="12.75"/>
  <cols>
    <col min="1" max="1" width="10.140625" bestFit="1" customWidth="1"/>
    <col min="2" max="2" width="14.5703125" bestFit="1" customWidth="1"/>
  </cols>
  <sheetData>
    <row r="1" spans="1:3">
      <c r="A1" s="14" t="s">
        <v>38</v>
      </c>
      <c r="B1" s="14" t="s">
        <v>0</v>
      </c>
      <c r="C1" s="1" t="s">
        <v>39</v>
      </c>
    </row>
    <row r="2" spans="1:3">
      <c r="A2" s="26">
        <v>40130</v>
      </c>
      <c r="B2" s="3">
        <v>-10183896.199999999</v>
      </c>
      <c r="C2" s="27">
        <f>XIRR(B2:B30,A2:A30)</f>
        <v>0.15812421441078192</v>
      </c>
    </row>
    <row r="3" spans="1:3">
      <c r="A3" s="26">
        <v>40222</v>
      </c>
      <c r="B3" s="3">
        <v>361411.258975</v>
      </c>
    </row>
    <row r="4" spans="1:3">
      <c r="A4" s="26">
        <v>40311</v>
      </c>
      <c r="B4" s="3">
        <v>361411.258975</v>
      </c>
    </row>
    <row r="5" spans="1:3">
      <c r="A5" s="26">
        <v>40403</v>
      </c>
      <c r="B5" s="3">
        <v>361411.258975</v>
      </c>
    </row>
    <row r="6" spans="1:3">
      <c r="A6" s="26">
        <v>40495</v>
      </c>
      <c r="B6" s="3">
        <v>361411.258975</v>
      </c>
    </row>
    <row r="7" spans="1:3">
      <c r="A7" s="26">
        <v>40587</v>
      </c>
      <c r="B7" s="3">
        <v>361411.258975</v>
      </c>
    </row>
    <row r="8" spans="1:3">
      <c r="A8" s="26">
        <v>40676</v>
      </c>
      <c r="B8" s="3">
        <v>361411.258975</v>
      </c>
    </row>
    <row r="9" spans="1:3">
      <c r="A9" s="26">
        <v>40768</v>
      </c>
      <c r="B9" s="3">
        <v>361411.258975</v>
      </c>
    </row>
    <row r="10" spans="1:3">
      <c r="A10" s="26">
        <v>40860</v>
      </c>
      <c r="B10" s="3">
        <v>361411.258975</v>
      </c>
    </row>
    <row r="11" spans="1:3">
      <c r="A11" s="26">
        <v>40952</v>
      </c>
      <c r="B11" s="3">
        <v>361411.258975</v>
      </c>
    </row>
    <row r="12" spans="1:3">
      <c r="A12" s="26">
        <v>41042</v>
      </c>
      <c r="B12" s="3">
        <v>361411.258975</v>
      </c>
    </row>
    <row r="13" spans="1:3">
      <c r="A13" s="26">
        <v>41134</v>
      </c>
      <c r="B13" s="3">
        <v>361411.258975</v>
      </c>
    </row>
    <row r="14" spans="1:3">
      <c r="A14" s="26">
        <v>41226</v>
      </c>
      <c r="B14" s="3">
        <v>361411.258975</v>
      </c>
    </row>
    <row r="15" spans="1:3">
      <c r="A15" s="26">
        <v>41318</v>
      </c>
      <c r="B15" s="3">
        <v>361411.258975</v>
      </c>
    </row>
    <row r="16" spans="1:3">
      <c r="A16" s="26">
        <v>41407</v>
      </c>
      <c r="B16" s="3">
        <v>361411.258975</v>
      </c>
    </row>
    <row r="17" spans="1:2">
      <c r="A17" s="26">
        <v>41499</v>
      </c>
      <c r="B17" s="3">
        <v>361411.258975</v>
      </c>
    </row>
    <row r="18" spans="1:2">
      <c r="A18" s="26">
        <v>41591</v>
      </c>
      <c r="B18" s="3">
        <v>361411.258975</v>
      </c>
    </row>
    <row r="19" spans="1:2">
      <c r="A19" s="26">
        <v>41683</v>
      </c>
      <c r="B19" s="3">
        <v>361411.258975</v>
      </c>
    </row>
    <row r="20" spans="1:2">
      <c r="A20" s="26">
        <v>41772</v>
      </c>
      <c r="B20" s="3">
        <v>361411.258975</v>
      </c>
    </row>
    <row r="21" spans="1:2">
      <c r="A21" s="26">
        <v>41864</v>
      </c>
      <c r="B21" s="3">
        <v>361411.258975</v>
      </c>
    </row>
    <row r="22" spans="1:2">
      <c r="A22" s="26">
        <v>41956</v>
      </c>
      <c r="B22" s="3">
        <v>361411.258975</v>
      </c>
    </row>
    <row r="23" spans="1:2">
      <c r="A23" s="26">
        <v>42048</v>
      </c>
      <c r="B23" s="3">
        <v>361411.258975</v>
      </c>
    </row>
    <row r="24" spans="1:2">
      <c r="A24" s="26">
        <v>42137</v>
      </c>
      <c r="B24" s="3">
        <v>361411.258975</v>
      </c>
    </row>
    <row r="25" spans="1:2">
      <c r="A25" s="26">
        <v>42229</v>
      </c>
      <c r="B25" s="3">
        <v>361411.258975</v>
      </c>
    </row>
    <row r="26" spans="1:2">
      <c r="A26" s="26">
        <v>42321</v>
      </c>
      <c r="B26" s="3">
        <v>361411.258975</v>
      </c>
    </row>
    <row r="27" spans="1:2">
      <c r="A27" s="26">
        <v>42413</v>
      </c>
      <c r="B27" s="3">
        <v>361411.258975</v>
      </c>
    </row>
    <row r="28" spans="1:2">
      <c r="A28" s="26">
        <v>42503</v>
      </c>
      <c r="B28" s="3">
        <v>361411.258975</v>
      </c>
    </row>
    <row r="29" spans="1:2">
      <c r="A29" s="26">
        <v>42595</v>
      </c>
      <c r="B29" s="3">
        <v>361411.258975</v>
      </c>
    </row>
    <row r="30" spans="1:2">
      <c r="A30" s="26">
        <v>42687</v>
      </c>
      <c r="B30" s="3">
        <v>11481757.688975001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A14" sqref="A14"/>
    </sheetView>
  </sheetViews>
  <sheetFormatPr defaultRowHeight="12.75"/>
  <cols>
    <col min="1" max="1" width="10.140625" style="1" bestFit="1" customWidth="1"/>
    <col min="2" max="2" width="14.5703125" style="1" bestFit="1" customWidth="1"/>
    <col min="3" max="3" width="14.5703125" style="1" customWidth="1"/>
    <col min="4" max="4" width="14" style="1" bestFit="1" customWidth="1"/>
    <col min="5" max="5" width="19.85546875" style="1" bestFit="1" customWidth="1"/>
    <col min="6" max="6" width="15.28515625" style="1" customWidth="1"/>
    <col min="10" max="10" width="10.140625" style="1" bestFit="1" customWidth="1"/>
    <col min="11" max="11" width="14.5703125" style="1" bestFit="1" customWidth="1"/>
    <col min="12" max="12" width="14.5703125" style="1" customWidth="1"/>
    <col min="13" max="13" width="14" style="1" bestFit="1" customWidth="1"/>
    <col min="14" max="14" width="19.85546875" style="1" bestFit="1" customWidth="1"/>
    <col min="15" max="15" width="15.28515625" style="1" customWidth="1"/>
  </cols>
  <sheetData>
    <row r="1" spans="1:15">
      <c r="A1" s="8" t="s">
        <v>53</v>
      </c>
      <c r="E1" s="1">
        <v>0.15821961619647662</v>
      </c>
      <c r="J1" s="8" t="s">
        <v>53</v>
      </c>
      <c r="N1" s="1">
        <v>0.1496141923890319</v>
      </c>
    </row>
    <row r="2" spans="1:15">
      <c r="A2" s="14" t="s">
        <v>38</v>
      </c>
      <c r="B2" s="14" t="s">
        <v>0</v>
      </c>
      <c r="C2" s="37" t="s">
        <v>40</v>
      </c>
      <c r="D2" s="37" t="s">
        <v>50</v>
      </c>
      <c r="E2" s="37" t="s">
        <v>51</v>
      </c>
      <c r="F2" s="37" t="s">
        <v>52</v>
      </c>
      <c r="J2" s="14" t="s">
        <v>38</v>
      </c>
      <c r="K2" s="14" t="s">
        <v>0</v>
      </c>
      <c r="L2" s="37" t="s">
        <v>40</v>
      </c>
      <c r="M2" s="37" t="s">
        <v>50</v>
      </c>
      <c r="N2" s="37" t="s">
        <v>51</v>
      </c>
      <c r="O2" s="37" t="s">
        <v>52</v>
      </c>
    </row>
    <row r="3" spans="1:15">
      <c r="A3" s="26">
        <v>40130</v>
      </c>
      <c r="B3" s="3">
        <v>-10183896.199999999</v>
      </c>
      <c r="C3" s="5">
        <v>11120346.430000002</v>
      </c>
      <c r="D3" s="3">
        <v>10183896.199999999</v>
      </c>
      <c r="E3" s="1">
        <f>+E1</f>
        <v>0.15821961619647662</v>
      </c>
      <c r="J3" s="26">
        <v>40130</v>
      </c>
      <c r="K3" s="3">
        <v>-10183896.199999999</v>
      </c>
      <c r="L3" s="5">
        <v>11120346.430000002</v>
      </c>
      <c r="M3" s="3">
        <v>10183896.199999999</v>
      </c>
      <c r="N3" s="1">
        <f>+N1</f>
        <v>0.1496141923890319</v>
      </c>
    </row>
    <row r="4" spans="1:15">
      <c r="A4" s="26">
        <v>40222</v>
      </c>
      <c r="B4" s="3">
        <v>361411.258975</v>
      </c>
      <c r="C4" s="3"/>
      <c r="D4" s="3">
        <f t="shared" ref="D4:D31" si="0">+D3+F4</f>
        <v>10225307.978062188</v>
      </c>
      <c r="F4" s="5">
        <f>(0.25*$E$3*D3)-B4</f>
        <v>41411.778062189114</v>
      </c>
      <c r="J4" s="26">
        <v>40222</v>
      </c>
      <c r="K4" s="3">
        <v>361411.258975</v>
      </c>
      <c r="L4" s="3"/>
      <c r="M4" s="3">
        <f t="shared" ref="M4:M31" si="1">+M3+O4</f>
        <v>10203398.792359183</v>
      </c>
      <c r="O4" s="5">
        <f>(0.25*$N$3*M3)-K4</f>
        <v>19502.592359182658</v>
      </c>
    </row>
    <row r="5" spans="1:15">
      <c r="A5" s="26">
        <v>40311</v>
      </c>
      <c r="B5" s="3">
        <v>361411.258975</v>
      </c>
      <c r="C5" s="3"/>
      <c r="D5" s="3">
        <f t="shared" si="0"/>
        <v>10268357.795032131</v>
      </c>
      <c r="F5" s="5">
        <f>(0.25*$E$3*D4)-B5</f>
        <v>43049.816969942418</v>
      </c>
      <c r="J5" s="26">
        <v>40311</v>
      </c>
      <c r="K5" s="3">
        <v>361411.258975</v>
      </c>
      <c r="L5" s="3"/>
      <c r="M5" s="3">
        <f t="shared" si="1"/>
        <v>10223630.850869693</v>
      </c>
      <c r="O5" s="5">
        <f t="shared" ref="O5:O31" si="2">(0.25*$N$3*M4)-K5</f>
        <v>20232.0585105106</v>
      </c>
    </row>
    <row r="6" spans="1:15">
      <c r="A6" s="26">
        <v>40403</v>
      </c>
      <c r="B6" s="3">
        <v>361411.258975</v>
      </c>
      <c r="C6" s="3"/>
      <c r="D6" s="3">
        <f t="shared" si="0"/>
        <v>10313110.44338165</v>
      </c>
      <c r="F6" s="5">
        <f t="shared" ref="F6:F31" si="3">(0.25*$E$3*D5)-B6</f>
        <v>44752.648349520634</v>
      </c>
      <c r="J6" s="26">
        <v>40403</v>
      </c>
      <c r="K6" s="3">
        <v>361411.258975</v>
      </c>
      <c r="L6" s="3"/>
      <c r="M6" s="3">
        <f t="shared" si="1"/>
        <v>10244619.660153808</v>
      </c>
      <c r="O6" s="5">
        <f t="shared" si="2"/>
        <v>20988.809284115036</v>
      </c>
    </row>
    <row r="7" spans="1:15">
      <c r="A7" s="26">
        <v>40495</v>
      </c>
      <c r="B7" s="3">
        <v>361411.258975</v>
      </c>
      <c r="C7" s="3"/>
      <c r="D7" s="3">
        <f t="shared" si="0"/>
        <v>10359633.27844258</v>
      </c>
      <c r="F7" s="5">
        <f t="shared" si="3"/>
        <v>46522.83506092988</v>
      </c>
      <c r="J7" s="26">
        <v>40495</v>
      </c>
      <c r="K7" s="3">
        <v>361411.258975</v>
      </c>
      <c r="L7" s="3"/>
      <c r="M7" s="3">
        <f t="shared" si="1"/>
        <v>10266393.525375485</v>
      </c>
      <c r="O7" s="5">
        <f t="shared" si="2"/>
        <v>21773.865221677581</v>
      </c>
    </row>
    <row r="8" spans="1:15">
      <c r="A8" s="26">
        <v>40587</v>
      </c>
      <c r="B8" s="3">
        <v>361411.258975</v>
      </c>
      <c r="C8" s="3"/>
      <c r="D8" s="3">
        <f t="shared" si="0"/>
        <v>10407996.319780439</v>
      </c>
      <c r="F8" s="5">
        <f t="shared" si="3"/>
        <v>48363.041337857954</v>
      </c>
      <c r="J8" s="26">
        <v>40587</v>
      </c>
      <c r="K8" s="3">
        <v>361411.258975</v>
      </c>
      <c r="L8" s="3"/>
      <c r="M8" s="3">
        <f t="shared" si="1"/>
        <v>10288981.810412245</v>
      </c>
      <c r="O8" s="5">
        <f t="shared" si="2"/>
        <v>22588.2850367598</v>
      </c>
    </row>
    <row r="9" spans="1:15">
      <c r="A9" s="26">
        <v>40676</v>
      </c>
      <c r="B9" s="3">
        <v>361411.258975</v>
      </c>
      <c r="C9" s="3"/>
      <c r="D9" s="3">
        <f t="shared" si="0"/>
        <v>10458272.35657794</v>
      </c>
      <c r="F9" s="5">
        <f t="shared" si="3"/>
        <v>50276.036797500565</v>
      </c>
      <c r="J9" s="26">
        <v>40676</v>
      </c>
      <c r="K9" s="3">
        <v>361411.258975</v>
      </c>
      <c r="L9" s="3"/>
      <c r="M9" s="3">
        <f t="shared" si="1"/>
        <v>10312414.977454811</v>
      </c>
      <c r="O9" s="5">
        <f t="shared" si="2"/>
        <v>23433.167042566813</v>
      </c>
    </row>
    <row r="10" spans="1:15">
      <c r="A10" s="26">
        <v>40768</v>
      </c>
      <c r="B10" s="3">
        <v>361411.258975</v>
      </c>
      <c r="C10" s="3"/>
      <c r="D10" s="3">
        <f t="shared" si="0"/>
        <v>10510537.057186935</v>
      </c>
      <c r="F10" s="5">
        <f t="shared" si="3"/>
        <v>52264.700608995685</v>
      </c>
      <c r="J10" s="26">
        <v>40768</v>
      </c>
      <c r="K10" s="3">
        <v>361411.258975</v>
      </c>
      <c r="L10" s="3"/>
      <c r="M10" s="3">
        <f t="shared" si="1"/>
        <v>10336724.628087927</v>
      </c>
      <c r="O10" s="5">
        <f t="shared" si="2"/>
        <v>24309.650633114565</v>
      </c>
    </row>
    <row r="11" spans="1:15">
      <c r="A11" s="26">
        <v>40860</v>
      </c>
      <c r="B11" s="3">
        <v>361411.258975</v>
      </c>
      <c r="C11" s="3"/>
      <c r="D11" s="3">
        <f t="shared" si="0"/>
        <v>10564869.083013676</v>
      </c>
      <c r="F11" s="5">
        <f t="shared" si="3"/>
        <v>54332.025826740428</v>
      </c>
      <c r="J11" s="26">
        <v>40860</v>
      </c>
      <c r="K11" s="3">
        <v>361411.258975</v>
      </c>
      <c r="L11" s="3"/>
      <c r="M11" s="3">
        <f t="shared" si="1"/>
        <v>10361943.545907725</v>
      </c>
      <c r="O11" s="5">
        <f t="shared" si="2"/>
        <v>25218.917819797818</v>
      </c>
    </row>
    <row r="12" spans="1:15">
      <c r="A12" s="26">
        <v>40952</v>
      </c>
      <c r="B12" s="3">
        <v>361411.258975</v>
      </c>
      <c r="C12" s="3"/>
      <c r="D12" s="3">
        <f t="shared" si="0"/>
        <v>10621350.206908787</v>
      </c>
      <c r="F12" s="5">
        <f t="shared" si="3"/>
        <v>56481.123895111436</v>
      </c>
      <c r="J12" s="26">
        <v>40952</v>
      </c>
      <c r="K12" s="3">
        <v>361411.258975</v>
      </c>
      <c r="L12" s="3"/>
      <c r="M12" s="3">
        <f t="shared" si="1"/>
        <v>10388105.740733156</v>
      </c>
      <c r="O12" s="5">
        <f t="shared" si="2"/>
        <v>26162.19482543139</v>
      </c>
    </row>
    <row r="13" spans="1:15">
      <c r="A13" s="26">
        <v>41042</v>
      </c>
      <c r="B13" s="3">
        <v>361411.258975</v>
      </c>
      <c r="C13" s="3"/>
      <c r="D13" s="3">
        <f t="shared" si="0"/>
        <v>10680065.436240155</v>
      </c>
      <c r="F13" s="5">
        <f t="shared" si="3"/>
        <v>58715.22933136893</v>
      </c>
      <c r="J13" s="26">
        <v>41042</v>
      </c>
      <c r="K13" s="3">
        <v>361411.258975</v>
      </c>
      <c r="L13" s="3"/>
      <c r="M13" s="3">
        <f t="shared" si="1"/>
        <v>10415246.494471069</v>
      </c>
      <c r="O13" s="5">
        <f t="shared" si="2"/>
        <v>27140.75373791426</v>
      </c>
    </row>
    <row r="14" spans="1:15">
      <c r="A14" s="26">
        <v>41134</v>
      </c>
      <c r="B14" s="3">
        <v>361411.258975</v>
      </c>
      <c r="C14" s="3"/>
      <c r="D14" s="3">
        <f t="shared" si="0"/>
        <v>10741103.140833948</v>
      </c>
      <c r="F14" s="5">
        <f t="shared" si="3"/>
        <v>61037.704593793256</v>
      </c>
      <c r="J14" s="26">
        <v>41134</v>
      </c>
      <c r="K14" s="3">
        <v>361411.258975</v>
      </c>
      <c r="L14" s="3"/>
      <c r="M14" s="3">
        <f t="shared" si="1"/>
        <v>10443402.408696815</v>
      </c>
      <c r="O14" s="5">
        <f t="shared" si="2"/>
        <v>28155.914225746179</v>
      </c>
    </row>
    <row r="15" spans="1:15">
      <c r="A15" s="26">
        <v>41226</v>
      </c>
      <c r="B15" s="3">
        <v>361411.258975</v>
      </c>
      <c r="C15" s="3"/>
      <c r="D15" s="3">
        <f t="shared" si="0"/>
        <v>10804555.185976326</v>
      </c>
      <c r="F15" s="5">
        <f t="shared" si="3"/>
        <v>63452.045142379182</v>
      </c>
      <c r="J15" s="26">
        <v>41226</v>
      </c>
      <c r="K15" s="3">
        <v>361411.258975</v>
      </c>
      <c r="L15" s="3"/>
      <c r="M15" s="3">
        <f t="shared" si="1"/>
        <v>10472611.454014527</v>
      </c>
      <c r="O15" s="5">
        <f t="shared" si="2"/>
        <v>29209.045317711134</v>
      </c>
    </row>
    <row r="16" spans="1:15">
      <c r="A16" s="26">
        <v>41318</v>
      </c>
      <c r="B16" s="3">
        <v>361411.258975</v>
      </c>
      <c r="C16" s="3"/>
      <c r="D16" s="3">
        <f t="shared" si="0"/>
        <v>10870517.070676032</v>
      </c>
      <c r="F16" s="5">
        <f t="shared" si="3"/>
        <v>65961.884699706337</v>
      </c>
      <c r="J16" s="26">
        <v>41318</v>
      </c>
      <c r="K16" s="3">
        <v>361411.258975</v>
      </c>
      <c r="L16" s="3"/>
      <c r="M16" s="3">
        <f t="shared" si="1"/>
        <v>10502913.021263653</v>
      </c>
      <c r="O16" s="5">
        <f t="shared" si="2"/>
        <v>30301.56724912714</v>
      </c>
    </row>
    <row r="17" spans="1:15">
      <c r="A17" s="26">
        <v>41407</v>
      </c>
      <c r="B17" s="3">
        <v>361411.258975</v>
      </c>
      <c r="C17" s="3"/>
      <c r="D17" s="3">
        <f t="shared" si="0"/>
        <v>10939088.071395935</v>
      </c>
      <c r="F17" s="5">
        <f t="shared" si="3"/>
        <v>68571.00071990228</v>
      </c>
      <c r="J17" s="26">
        <v>41407</v>
      </c>
      <c r="K17" s="3">
        <v>361411.258975</v>
      </c>
      <c r="L17" s="3"/>
      <c r="M17" s="3">
        <f t="shared" si="1"/>
        <v>10534347.974640805</v>
      </c>
      <c r="O17" s="5">
        <f t="shared" si="2"/>
        <v>31434.953377152095</v>
      </c>
    </row>
    <row r="18" spans="1:15">
      <c r="A18" s="26">
        <v>41499</v>
      </c>
      <c r="B18" s="3">
        <v>361411.258975</v>
      </c>
      <c r="C18" s="3"/>
      <c r="D18" s="3">
        <f t="shared" si="0"/>
        <v>11010371.391469866</v>
      </c>
      <c r="F18" s="5">
        <f t="shared" si="3"/>
        <v>71283.320073930139</v>
      </c>
      <c r="J18" s="26">
        <v>41499</v>
      </c>
      <c r="K18" s="3">
        <v>361411.258975</v>
      </c>
      <c r="L18" s="3"/>
      <c r="M18" s="40">
        <f t="shared" si="1"/>
        <v>10566958.706808535</v>
      </c>
      <c r="O18" s="5">
        <f t="shared" si="2"/>
        <v>32610.732167729468</v>
      </c>
    </row>
    <row r="19" spans="1:15">
      <c r="A19" s="26">
        <v>41591</v>
      </c>
      <c r="B19" s="3">
        <v>361411.258975</v>
      </c>
      <c r="C19" s="3"/>
      <c r="D19" s="3">
        <f t="shared" si="0"/>
        <v>11084474.316429622</v>
      </c>
      <c r="F19" s="5">
        <f t="shared" si="3"/>
        <v>74102.924959757132</v>
      </c>
      <c r="J19" s="26">
        <v>41591</v>
      </c>
      <c r="K19" s="3">
        <v>361411.258975</v>
      </c>
      <c r="L19" s="3"/>
      <c r="M19" s="40">
        <f t="shared" si="1"/>
        <v>10600789.196065387</v>
      </c>
      <c r="O19" s="5">
        <f t="shared" si="2"/>
        <v>33830.489256851957</v>
      </c>
    </row>
    <row r="20" spans="1:15">
      <c r="A20" s="26">
        <v>41683</v>
      </c>
      <c r="B20" s="3">
        <v>361411.258975</v>
      </c>
      <c r="C20" s="3"/>
      <c r="D20" s="38">
        <f t="shared" si="0"/>
        <v>11161508.375475923</v>
      </c>
      <c r="F20" s="5">
        <f t="shared" si="3"/>
        <v>77034.059046299371</v>
      </c>
      <c r="G20" s="8" t="s">
        <v>54</v>
      </c>
      <c r="J20" s="26">
        <v>41683</v>
      </c>
      <c r="K20" s="3">
        <v>361411.258975</v>
      </c>
      <c r="L20" s="3"/>
      <c r="M20" s="40">
        <f t="shared" si="1"/>
        <v>10635885.065654311</v>
      </c>
      <c r="O20" s="5">
        <f t="shared" si="2"/>
        <v>35095.869588924397</v>
      </c>
    </row>
    <row r="21" spans="1:15">
      <c r="A21" s="26">
        <v>41772</v>
      </c>
      <c r="B21" s="3">
        <v>361411.258975</v>
      </c>
      <c r="C21" s="3"/>
      <c r="D21" s="3">
        <f t="shared" si="0"/>
        <v>11241589.509336313</v>
      </c>
      <c r="F21" s="5">
        <f t="shared" si="3"/>
        <v>80081.133860389935</v>
      </c>
      <c r="J21" s="26">
        <v>41772</v>
      </c>
      <c r="K21" s="3">
        <v>361411.258975</v>
      </c>
      <c r="L21" s="3"/>
      <c r="M21" s="40">
        <f t="shared" si="1"/>
        <v>10672293.645289421</v>
      </c>
      <c r="O21" s="5">
        <f t="shared" si="2"/>
        <v>36408.579635108821</v>
      </c>
    </row>
    <row r="22" spans="1:15">
      <c r="A22" s="26">
        <v>41864</v>
      </c>
      <c r="B22" s="3">
        <v>361411.258975</v>
      </c>
      <c r="C22" s="3"/>
      <c r="D22" s="3">
        <f t="shared" si="0"/>
        <v>11324838.244762696</v>
      </c>
      <c r="F22" s="5">
        <f t="shared" si="3"/>
        <v>83248.735426382336</v>
      </c>
      <c r="J22" s="26">
        <v>41864</v>
      </c>
      <c r="K22" s="3">
        <v>361411.258975</v>
      </c>
      <c r="L22" s="3"/>
      <c r="M22" s="40">
        <f t="shared" si="1"/>
        <v>10710064.034984065</v>
      </c>
      <c r="O22" s="5">
        <f t="shared" si="2"/>
        <v>37770.389694643498</v>
      </c>
    </row>
    <row r="23" spans="1:15">
      <c r="A23" s="26">
        <v>41956</v>
      </c>
      <c r="B23" s="3">
        <v>361411.258975</v>
      </c>
      <c r="C23" s="3"/>
      <c r="D23" s="3">
        <f t="shared" si="0"/>
        <v>11411379.87593108</v>
      </c>
      <c r="F23" s="5">
        <f t="shared" si="3"/>
        <v>86541.631168383465</v>
      </c>
      <c r="J23" s="26">
        <v>41956</v>
      </c>
      <c r="K23" s="3">
        <v>361411.258975</v>
      </c>
      <c r="L23" s="3"/>
      <c r="M23" s="40">
        <f t="shared" si="1"/>
        <v>10749247.171266304</v>
      </c>
      <c r="O23" s="5">
        <f t="shared" si="2"/>
        <v>39183.136282239284</v>
      </c>
    </row>
    <row r="24" spans="1:15">
      <c r="A24" s="26">
        <v>42048</v>
      </c>
      <c r="B24" s="3">
        <v>361411.258975</v>
      </c>
      <c r="C24" s="3"/>
      <c r="D24" s="3">
        <f t="shared" si="0"/>
        <v>11501344.653016584</v>
      </c>
      <c r="F24" s="5">
        <f t="shared" si="3"/>
        <v>89964.777085503156</v>
      </c>
      <c r="J24" s="26">
        <v>42048</v>
      </c>
      <c r="K24" s="3">
        <v>361411.258975</v>
      </c>
      <c r="L24" s="3"/>
      <c r="M24" s="40">
        <f t="shared" si="1"/>
        <v>10789895.895871079</v>
      </c>
      <c r="O24" s="5">
        <f t="shared" si="2"/>
        <v>40648.724604773452</v>
      </c>
    </row>
    <row r="25" spans="1:15">
      <c r="A25" s="26">
        <v>42137</v>
      </c>
      <c r="B25" s="3">
        <v>361411.258975</v>
      </c>
      <c r="C25" s="3"/>
      <c r="D25" s="3">
        <f t="shared" si="0"/>
        <v>11594867.978227505</v>
      </c>
      <c r="F25" s="5">
        <f t="shared" si="3"/>
        <v>93523.325210920593</v>
      </c>
      <c r="J25" s="26">
        <v>42137</v>
      </c>
      <c r="K25" s="3">
        <v>361411.258975</v>
      </c>
      <c r="L25" s="3"/>
      <c r="M25" s="40">
        <f t="shared" si="1"/>
        <v>10832065.027001699</v>
      </c>
      <c r="O25" s="5">
        <f t="shared" si="2"/>
        <v>42169.131130620313</v>
      </c>
    </row>
    <row r="26" spans="1:15">
      <c r="A26" s="26">
        <v>42229</v>
      </c>
      <c r="B26" s="3">
        <v>361411.258975</v>
      </c>
      <c r="C26" s="3"/>
      <c r="D26" s="3">
        <f t="shared" si="0"/>
        <v>11692090.609593499</v>
      </c>
      <c r="F26" s="5">
        <f t="shared" si="3"/>
        <v>97222.631365993177</v>
      </c>
      <c r="J26" s="26">
        <v>42229</v>
      </c>
      <c r="K26" s="3">
        <v>361411.258975</v>
      </c>
      <c r="L26" s="3"/>
      <c r="M26" s="40">
        <f t="shared" si="1"/>
        <v>10875811.433256783</v>
      </c>
      <c r="O26" s="5">
        <f t="shared" si="2"/>
        <v>43746.406255084032</v>
      </c>
    </row>
    <row r="27" spans="1:15">
      <c r="A27" s="26">
        <v>42321</v>
      </c>
      <c r="B27" s="3">
        <v>361411.258975</v>
      </c>
      <c r="C27" s="3"/>
      <c r="D27" s="3">
        <f t="shared" si="0"/>
        <v>11793158.872814577</v>
      </c>
      <c r="F27" s="5">
        <f t="shared" si="3"/>
        <v>101068.26322107797</v>
      </c>
      <c r="J27" s="26">
        <v>42321</v>
      </c>
      <c r="K27" s="3">
        <v>361411.258975</v>
      </c>
      <c r="L27" s="3"/>
      <c r="M27" s="40">
        <f t="shared" si="1"/>
        <v>10921194.110322312</v>
      </c>
      <c r="O27" s="5">
        <f t="shared" si="2"/>
        <v>45382.677065528231</v>
      </c>
    </row>
    <row r="28" spans="1:15">
      <c r="A28" s="26">
        <v>42413</v>
      </c>
      <c r="B28" s="3">
        <v>361411.258975</v>
      </c>
      <c r="C28" s="3"/>
      <c r="D28" s="3">
        <f t="shared" si="0"/>
        <v>11898224.881489776</v>
      </c>
      <c r="F28" s="5">
        <f t="shared" si="3"/>
        <v>105066.00867519883</v>
      </c>
      <c r="J28" s="26">
        <v>42413</v>
      </c>
      <c r="K28" s="3">
        <v>361411.258975</v>
      </c>
      <c r="L28" s="3"/>
      <c r="M28" s="40">
        <f t="shared" si="1"/>
        <v>10968274.260532243</v>
      </c>
      <c r="O28" s="5">
        <f t="shared" si="2"/>
        <v>47080.150209931075</v>
      </c>
    </row>
    <row r="29" spans="1:15">
      <c r="A29" s="26">
        <v>42503</v>
      </c>
      <c r="B29" s="3">
        <v>361411.258975</v>
      </c>
      <c r="C29" s="3"/>
      <c r="D29" s="3">
        <f t="shared" si="0"/>
        <v>12007446.766056946</v>
      </c>
      <c r="F29" s="5">
        <f t="shared" si="3"/>
        <v>109221.88456717023</v>
      </c>
      <c r="J29" s="26">
        <v>42503</v>
      </c>
      <c r="K29" s="3">
        <v>361411.258975</v>
      </c>
      <c r="L29" s="3"/>
      <c r="M29" s="40">
        <f t="shared" si="1"/>
        <v>11017115.375404978</v>
      </c>
      <c r="O29" s="5">
        <f t="shared" si="2"/>
        <v>48841.114872734412</v>
      </c>
    </row>
    <row r="30" spans="1:15">
      <c r="A30" s="26">
        <v>42595</v>
      </c>
      <c r="B30" s="3">
        <v>361411.258975</v>
      </c>
      <c r="C30" s="3"/>
      <c r="D30" s="3">
        <f t="shared" si="0"/>
        <v>12120988.911788234</v>
      </c>
      <c r="F30" s="5">
        <f t="shared" si="3"/>
        <v>113542.14573128859</v>
      </c>
      <c r="J30" s="26">
        <v>42595</v>
      </c>
      <c r="K30" s="3">
        <v>361411.258975</v>
      </c>
      <c r="L30" s="3"/>
      <c r="M30" s="40">
        <f t="shared" si="1"/>
        <v>11067783.321266979</v>
      </c>
      <c r="O30" s="5">
        <f t="shared" si="2"/>
        <v>50667.945862000459</v>
      </c>
    </row>
    <row r="31" spans="1:15">
      <c r="A31" s="26">
        <v>42687</v>
      </c>
      <c r="B31" s="3">
        <v>361411.258975</v>
      </c>
      <c r="C31" s="3"/>
      <c r="D31" s="13">
        <f t="shared" si="0"/>
        <v>12239022.206199456</v>
      </c>
      <c r="F31" s="5">
        <f t="shared" si="3"/>
        <v>118033.29441122082</v>
      </c>
      <c r="J31" s="26">
        <v>42687</v>
      </c>
      <c r="K31" s="3">
        <v>361411.258975</v>
      </c>
      <c r="L31" s="3"/>
      <c r="M31" s="42">
        <f t="shared" si="1"/>
        <v>11120346.428079018</v>
      </c>
      <c r="O31" s="5">
        <f t="shared" si="2"/>
        <v>52563.106812039041</v>
      </c>
    </row>
    <row r="32" spans="1:15">
      <c r="F32" s="5">
        <f>SUM(F4:F31)</f>
        <v>2055126.0061994537</v>
      </c>
      <c r="M32" s="41"/>
      <c r="O32" s="5">
        <f>SUM(O4:O31)</f>
        <v>936450.22807901562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G30"/>
  <sheetViews>
    <sheetView tabSelected="1" workbookViewId="0">
      <selection activeCell="F19" sqref="F19"/>
    </sheetView>
  </sheetViews>
  <sheetFormatPr defaultRowHeight="12.75"/>
  <cols>
    <col min="1" max="1" width="10.140625" bestFit="1" customWidth="1"/>
    <col min="2" max="2" width="14.5703125" bestFit="1" customWidth="1"/>
    <col min="3" max="3" width="13.42578125" style="1" customWidth="1"/>
    <col min="4" max="4" width="13.140625" bestFit="1" customWidth="1"/>
    <col min="5" max="5" width="14.5703125" bestFit="1" customWidth="1"/>
    <col min="6" max="6" width="22.28515625" bestFit="1" customWidth="1"/>
    <col min="7" max="7" width="17.28515625" bestFit="1" customWidth="1"/>
  </cols>
  <sheetData>
    <row r="1" spans="1:7">
      <c r="A1" s="14" t="s">
        <v>38</v>
      </c>
      <c r="B1" s="14" t="s">
        <v>0</v>
      </c>
      <c r="C1" s="14" t="s">
        <v>4</v>
      </c>
      <c r="D1" s="14" t="s">
        <v>1</v>
      </c>
      <c r="E1" s="14" t="s">
        <v>2</v>
      </c>
      <c r="F1" s="14" t="s">
        <v>3</v>
      </c>
      <c r="G1" s="14" t="s">
        <v>6</v>
      </c>
    </row>
    <row r="2" spans="1:7">
      <c r="A2" s="26">
        <v>40130</v>
      </c>
      <c r="B2" s="3">
        <v>-10183896.199999999</v>
      </c>
      <c r="C2" s="15">
        <v>0</v>
      </c>
      <c r="D2" s="14">
        <v>1</v>
      </c>
      <c r="E2" s="16">
        <f>B2/D2</f>
        <v>-10183896.199999999</v>
      </c>
      <c r="F2" s="16">
        <f>E2</f>
        <v>-10183896.199999999</v>
      </c>
      <c r="G2" s="14">
        <f>1-1</f>
        <v>0</v>
      </c>
    </row>
    <row r="3" spans="1:7">
      <c r="A3" s="26">
        <v>40222</v>
      </c>
      <c r="B3" s="3">
        <v>361411.258975</v>
      </c>
      <c r="C3" s="15">
        <v>0</v>
      </c>
      <c r="D3" s="14">
        <v>1</v>
      </c>
      <c r="E3" s="16">
        <f>B3/D3</f>
        <v>361411.258975</v>
      </c>
      <c r="F3" s="16">
        <f>F2+E3</f>
        <v>-9822484.9410250001</v>
      </c>
      <c r="G3" s="14">
        <v>0.25</v>
      </c>
    </row>
    <row r="4" spans="1:7">
      <c r="A4" s="26">
        <v>40311</v>
      </c>
      <c r="B4" s="3">
        <v>361411.258975</v>
      </c>
      <c r="C4" s="15">
        <v>0</v>
      </c>
      <c r="D4" s="14">
        <v>1</v>
      </c>
      <c r="E4" s="16">
        <f t="shared" ref="E4:E8" si="0">B4/D4</f>
        <v>361411.258975</v>
      </c>
      <c r="F4" s="16">
        <f t="shared" ref="F4:F8" si="1">F3+E4</f>
        <v>-9461073.6820500009</v>
      </c>
      <c r="G4" s="14">
        <v>0.5</v>
      </c>
    </row>
    <row r="5" spans="1:7">
      <c r="A5" s="26">
        <v>40403</v>
      </c>
      <c r="B5" s="3">
        <v>361411.258975</v>
      </c>
      <c r="C5" s="15">
        <v>0</v>
      </c>
      <c r="D5" s="14">
        <v>1</v>
      </c>
      <c r="E5" s="16">
        <f t="shared" si="0"/>
        <v>361411.258975</v>
      </c>
      <c r="F5" s="16">
        <f t="shared" si="1"/>
        <v>-9099662.4230750017</v>
      </c>
      <c r="G5" s="14">
        <v>0.75</v>
      </c>
    </row>
    <row r="6" spans="1:7">
      <c r="A6" s="26">
        <v>40495</v>
      </c>
      <c r="B6" s="3">
        <v>361411.258975</v>
      </c>
      <c r="C6" s="15">
        <v>0</v>
      </c>
      <c r="D6" s="14">
        <v>1</v>
      </c>
      <c r="E6" s="16">
        <f t="shared" si="0"/>
        <v>361411.258975</v>
      </c>
      <c r="F6" s="16">
        <f t="shared" si="1"/>
        <v>-8738251.1641000025</v>
      </c>
      <c r="G6" s="14">
        <v>1</v>
      </c>
    </row>
    <row r="7" spans="1:7">
      <c r="A7" s="26">
        <v>40587</v>
      </c>
      <c r="B7" s="3">
        <v>361411.258975</v>
      </c>
      <c r="C7" s="15">
        <v>0</v>
      </c>
      <c r="D7" s="14">
        <v>1</v>
      </c>
      <c r="E7" s="16">
        <f t="shared" si="0"/>
        <v>361411.258975</v>
      </c>
      <c r="F7" s="16">
        <f t="shared" si="1"/>
        <v>-8376839.9051250024</v>
      </c>
      <c r="G7" s="14">
        <v>1.25</v>
      </c>
    </row>
    <row r="8" spans="1:7">
      <c r="A8" s="26">
        <v>40676</v>
      </c>
      <c r="B8" s="3">
        <v>361411.258975</v>
      </c>
      <c r="C8" s="15">
        <v>0</v>
      </c>
      <c r="D8" s="14">
        <v>1</v>
      </c>
      <c r="E8" s="16">
        <f t="shared" si="0"/>
        <v>361411.258975</v>
      </c>
      <c r="F8" s="16">
        <f t="shared" si="1"/>
        <v>-8015428.6461500023</v>
      </c>
      <c r="G8" s="14">
        <v>1.5</v>
      </c>
    </row>
    <row r="9" spans="1:7">
      <c r="A9" s="26">
        <v>40768</v>
      </c>
      <c r="B9" s="3">
        <v>361411.258975</v>
      </c>
      <c r="C9" s="15">
        <v>0</v>
      </c>
      <c r="D9" s="14">
        <v>1</v>
      </c>
      <c r="E9" s="16">
        <f t="shared" ref="E9:E30" si="2">B9/D9</f>
        <v>361411.258975</v>
      </c>
      <c r="F9" s="16">
        <f t="shared" ref="F9:F30" si="3">F8+E9</f>
        <v>-7654017.3871750021</v>
      </c>
      <c r="G9" s="14">
        <v>1.75</v>
      </c>
    </row>
    <row r="10" spans="1:7">
      <c r="A10" s="26">
        <v>40860</v>
      </c>
      <c r="B10" s="3">
        <v>361411.258975</v>
      </c>
      <c r="C10" s="15">
        <v>0</v>
      </c>
      <c r="D10" s="14">
        <v>1</v>
      </c>
      <c r="E10" s="16">
        <f t="shared" si="2"/>
        <v>361411.258975</v>
      </c>
      <c r="F10" s="16">
        <f t="shared" si="3"/>
        <v>-7292606.128200002</v>
      </c>
      <c r="G10" s="14">
        <v>2</v>
      </c>
    </row>
    <row r="11" spans="1:7">
      <c r="A11" s="26">
        <v>40952</v>
      </c>
      <c r="B11" s="3">
        <v>361411.258975</v>
      </c>
      <c r="C11" s="15">
        <v>0</v>
      </c>
      <c r="D11" s="14">
        <v>1</v>
      </c>
      <c r="E11" s="16">
        <f t="shared" si="2"/>
        <v>361411.258975</v>
      </c>
      <c r="F11" s="16">
        <f t="shared" si="3"/>
        <v>-6931194.8692250019</v>
      </c>
      <c r="G11" s="14">
        <v>2.25</v>
      </c>
    </row>
    <row r="12" spans="1:7">
      <c r="A12" s="26">
        <v>41042</v>
      </c>
      <c r="B12" s="3">
        <v>361411.258975</v>
      </c>
      <c r="C12" s="15">
        <v>0</v>
      </c>
      <c r="D12" s="14">
        <v>1</v>
      </c>
      <c r="E12" s="16">
        <f t="shared" si="2"/>
        <v>361411.258975</v>
      </c>
      <c r="F12" s="16">
        <f t="shared" si="3"/>
        <v>-6569783.6102500018</v>
      </c>
      <c r="G12" s="14">
        <v>2.5</v>
      </c>
    </row>
    <row r="13" spans="1:7">
      <c r="A13" s="26">
        <v>41134</v>
      </c>
      <c r="B13" s="3">
        <v>361411.258975</v>
      </c>
      <c r="C13" s="15">
        <v>0</v>
      </c>
      <c r="D13" s="14">
        <v>1</v>
      </c>
      <c r="E13" s="16">
        <f t="shared" si="2"/>
        <v>361411.258975</v>
      </c>
      <c r="F13" s="16">
        <f t="shared" si="3"/>
        <v>-6208372.3512750017</v>
      </c>
      <c r="G13" s="14">
        <v>2.75</v>
      </c>
    </row>
    <row r="14" spans="1:7">
      <c r="A14" s="26">
        <v>41226</v>
      </c>
      <c r="B14" s="3">
        <v>361411.258975</v>
      </c>
      <c r="C14" s="15">
        <v>0</v>
      </c>
      <c r="D14" s="14">
        <v>1</v>
      </c>
      <c r="E14" s="16">
        <f t="shared" si="2"/>
        <v>361411.258975</v>
      </c>
      <c r="F14" s="16">
        <f t="shared" si="3"/>
        <v>-5846961.0923000015</v>
      </c>
      <c r="G14" s="14">
        <v>3</v>
      </c>
    </row>
    <row r="15" spans="1:7">
      <c r="A15" s="26">
        <v>41318</v>
      </c>
      <c r="B15" s="3">
        <v>361411.258975</v>
      </c>
      <c r="C15" s="15">
        <v>0</v>
      </c>
      <c r="D15" s="14">
        <v>1</v>
      </c>
      <c r="E15" s="16">
        <f t="shared" si="2"/>
        <v>361411.258975</v>
      </c>
      <c r="F15" s="16">
        <f t="shared" si="3"/>
        <v>-5485549.8333250014</v>
      </c>
      <c r="G15" s="14">
        <v>3.25</v>
      </c>
    </row>
    <row r="16" spans="1:7">
      <c r="A16" s="26">
        <v>41407</v>
      </c>
      <c r="B16" s="3">
        <v>361411.258975</v>
      </c>
      <c r="C16" s="15">
        <v>0</v>
      </c>
      <c r="D16" s="14">
        <v>1</v>
      </c>
      <c r="E16" s="16">
        <f t="shared" si="2"/>
        <v>361411.258975</v>
      </c>
      <c r="F16" s="16">
        <f t="shared" si="3"/>
        <v>-5124138.5743500013</v>
      </c>
      <c r="G16" s="14">
        <v>3.5</v>
      </c>
    </row>
    <row r="17" spans="1:7">
      <c r="A17" s="26">
        <v>41499</v>
      </c>
      <c r="B17" s="3">
        <v>361411.258975</v>
      </c>
      <c r="C17" s="15">
        <v>0</v>
      </c>
      <c r="D17" s="14">
        <v>1</v>
      </c>
      <c r="E17" s="16">
        <f t="shared" si="2"/>
        <v>361411.258975</v>
      </c>
      <c r="F17" s="16">
        <f t="shared" si="3"/>
        <v>-4762727.3153750012</v>
      </c>
      <c r="G17" s="14">
        <v>3.75</v>
      </c>
    </row>
    <row r="18" spans="1:7">
      <c r="A18" s="26">
        <v>41591</v>
      </c>
      <c r="B18" s="3">
        <v>361411.258975</v>
      </c>
      <c r="C18" s="15">
        <v>0</v>
      </c>
      <c r="D18" s="14">
        <v>1</v>
      </c>
      <c r="E18" s="16">
        <f t="shared" si="2"/>
        <v>361411.258975</v>
      </c>
      <c r="F18" s="16">
        <f t="shared" si="3"/>
        <v>-4401316.056400001</v>
      </c>
      <c r="G18" s="14">
        <v>4</v>
      </c>
    </row>
    <row r="19" spans="1:7">
      <c r="A19" s="26">
        <v>41683</v>
      </c>
      <c r="B19" s="3">
        <v>361411.258975</v>
      </c>
      <c r="C19" s="15">
        <v>0</v>
      </c>
      <c r="D19" s="14">
        <v>1</v>
      </c>
      <c r="E19" s="16">
        <f t="shared" si="2"/>
        <v>361411.258975</v>
      </c>
      <c r="F19" s="16">
        <f t="shared" si="3"/>
        <v>-4039904.7974250009</v>
      </c>
      <c r="G19" s="14">
        <v>4.25</v>
      </c>
    </row>
    <row r="20" spans="1:7">
      <c r="A20" s="26">
        <v>41772</v>
      </c>
      <c r="B20" s="3">
        <v>361411.258975</v>
      </c>
      <c r="C20" s="15">
        <v>0</v>
      </c>
      <c r="D20" s="14">
        <v>1</v>
      </c>
      <c r="E20" s="16">
        <f t="shared" si="2"/>
        <v>361411.258975</v>
      </c>
      <c r="F20" s="16">
        <f t="shared" si="3"/>
        <v>-3678493.5384500008</v>
      </c>
      <c r="G20" s="14">
        <v>4.5</v>
      </c>
    </row>
    <row r="21" spans="1:7">
      <c r="A21" s="26">
        <v>41864</v>
      </c>
      <c r="B21" s="3">
        <v>361411.258975</v>
      </c>
      <c r="C21" s="15">
        <v>0</v>
      </c>
      <c r="D21" s="14">
        <v>1</v>
      </c>
      <c r="E21" s="16">
        <f t="shared" si="2"/>
        <v>361411.258975</v>
      </c>
      <c r="F21" s="16">
        <f t="shared" si="3"/>
        <v>-3317082.2794750007</v>
      </c>
      <c r="G21" s="14">
        <v>4.75</v>
      </c>
    </row>
    <row r="22" spans="1:7">
      <c r="A22" s="26">
        <v>41956</v>
      </c>
      <c r="B22" s="3">
        <v>361411.258975</v>
      </c>
      <c r="C22" s="15">
        <v>0</v>
      </c>
      <c r="D22" s="14">
        <v>1</v>
      </c>
      <c r="E22" s="16">
        <f t="shared" si="2"/>
        <v>361411.258975</v>
      </c>
      <c r="F22" s="16">
        <f t="shared" si="3"/>
        <v>-2955671.0205000006</v>
      </c>
      <c r="G22" s="14">
        <v>5</v>
      </c>
    </row>
    <row r="23" spans="1:7">
      <c r="A23" s="26">
        <v>42048</v>
      </c>
      <c r="B23" s="3">
        <v>361411.258975</v>
      </c>
      <c r="C23" s="15">
        <v>0</v>
      </c>
      <c r="D23" s="14">
        <v>1</v>
      </c>
      <c r="E23" s="16">
        <f t="shared" si="2"/>
        <v>361411.258975</v>
      </c>
      <c r="F23" s="16">
        <f t="shared" si="3"/>
        <v>-2594259.7615250004</v>
      </c>
      <c r="G23" s="14">
        <v>5.25</v>
      </c>
    </row>
    <row r="24" spans="1:7">
      <c r="A24" s="26">
        <v>42137</v>
      </c>
      <c r="B24" s="3">
        <v>361411.258975</v>
      </c>
      <c r="C24" s="15">
        <v>0</v>
      </c>
      <c r="D24" s="14">
        <v>1</v>
      </c>
      <c r="E24" s="16">
        <f t="shared" si="2"/>
        <v>361411.258975</v>
      </c>
      <c r="F24" s="16">
        <f t="shared" si="3"/>
        <v>-2232848.5025500003</v>
      </c>
      <c r="G24" s="14">
        <v>5.5</v>
      </c>
    </row>
    <row r="25" spans="1:7">
      <c r="A25" s="26">
        <v>42229</v>
      </c>
      <c r="B25" s="3">
        <v>361411.258975</v>
      </c>
      <c r="C25" s="15">
        <v>0</v>
      </c>
      <c r="D25" s="14">
        <v>1</v>
      </c>
      <c r="E25" s="16">
        <f t="shared" si="2"/>
        <v>361411.258975</v>
      </c>
      <c r="F25" s="16">
        <f t="shared" si="3"/>
        <v>-1871437.2435750002</v>
      </c>
      <c r="G25" s="14">
        <v>5.75</v>
      </c>
    </row>
    <row r="26" spans="1:7">
      <c r="A26" s="26">
        <v>42321</v>
      </c>
      <c r="B26" s="3">
        <v>361411.258975</v>
      </c>
      <c r="C26" s="15">
        <v>0</v>
      </c>
      <c r="D26" s="14">
        <v>1</v>
      </c>
      <c r="E26" s="16">
        <f t="shared" si="2"/>
        <v>361411.258975</v>
      </c>
      <c r="F26" s="16">
        <f t="shared" si="3"/>
        <v>-1510025.9846000001</v>
      </c>
      <c r="G26" s="14">
        <v>6</v>
      </c>
    </row>
    <row r="27" spans="1:7">
      <c r="A27" s="26">
        <v>42413</v>
      </c>
      <c r="B27" s="3">
        <v>361411.258975</v>
      </c>
      <c r="C27" s="15">
        <v>0</v>
      </c>
      <c r="D27" s="14">
        <v>1</v>
      </c>
      <c r="E27" s="16">
        <f t="shared" si="2"/>
        <v>361411.258975</v>
      </c>
      <c r="F27" s="16">
        <f t="shared" si="3"/>
        <v>-1148614.725625</v>
      </c>
      <c r="G27" s="14">
        <v>6.25</v>
      </c>
    </row>
    <row r="28" spans="1:7">
      <c r="A28" s="26">
        <v>42503</v>
      </c>
      <c r="B28" s="3">
        <v>361411.258975</v>
      </c>
      <c r="C28" s="15">
        <v>0</v>
      </c>
      <c r="D28" s="14">
        <v>1</v>
      </c>
      <c r="E28" s="16">
        <f t="shared" si="2"/>
        <v>361411.258975</v>
      </c>
      <c r="F28" s="16">
        <f t="shared" si="3"/>
        <v>-787203.46664999996</v>
      </c>
      <c r="G28" s="14">
        <v>6.5</v>
      </c>
    </row>
    <row r="29" spans="1:7">
      <c r="A29" s="26">
        <v>42595</v>
      </c>
      <c r="B29" s="3">
        <v>361411.258975</v>
      </c>
      <c r="C29" s="15">
        <v>0</v>
      </c>
      <c r="D29" s="14">
        <v>1</v>
      </c>
      <c r="E29" s="16">
        <f t="shared" si="2"/>
        <v>361411.258975</v>
      </c>
      <c r="F29" s="16">
        <f t="shared" si="3"/>
        <v>-425792.20767499995</v>
      </c>
      <c r="G29" s="14">
        <v>6.75</v>
      </c>
    </row>
    <row r="30" spans="1:7">
      <c r="A30" s="26">
        <v>42687</v>
      </c>
      <c r="B30" s="3">
        <v>11481757.688975001</v>
      </c>
      <c r="C30" s="15">
        <v>0</v>
      </c>
      <c r="D30" s="14">
        <v>1</v>
      </c>
      <c r="E30" s="16">
        <f t="shared" si="2"/>
        <v>11481757.688975001</v>
      </c>
      <c r="F30" s="16">
        <f t="shared" si="3"/>
        <v>11055965.4813</v>
      </c>
      <c r="G30" s="14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F0"/>
  </sheetPr>
  <dimension ref="A1:I30"/>
  <sheetViews>
    <sheetView workbookViewId="0">
      <selection activeCell="G2" activeCellId="1" sqref="A2:B30 G2:G30"/>
    </sheetView>
  </sheetViews>
  <sheetFormatPr defaultRowHeight="12.75"/>
  <cols>
    <col min="2" max="2" width="13.42578125" bestFit="1" customWidth="1"/>
    <col min="3" max="3" width="7.5703125" bestFit="1" customWidth="1"/>
    <col min="4" max="4" width="13.140625" bestFit="1" customWidth="1"/>
    <col min="5" max="5" width="14.5703125" bestFit="1" customWidth="1"/>
    <col min="6" max="6" width="22.42578125" bestFit="1" customWidth="1"/>
    <col min="8" max="8" width="18.5703125" bestFit="1" customWidth="1"/>
    <col min="9" max="9" width="10.5703125" bestFit="1" customWidth="1"/>
  </cols>
  <sheetData>
    <row r="1" spans="1:9">
      <c r="A1" s="14"/>
      <c r="B1" s="14" t="s">
        <v>0</v>
      </c>
      <c r="C1" s="14" t="s">
        <v>4</v>
      </c>
      <c r="D1" s="14" t="s">
        <v>1</v>
      </c>
      <c r="E1" s="14" t="s">
        <v>2</v>
      </c>
      <c r="F1" s="14" t="s">
        <v>3</v>
      </c>
      <c r="G1" s="14" t="s">
        <v>7</v>
      </c>
      <c r="H1" s="1" t="s">
        <v>5</v>
      </c>
    </row>
    <row r="2" spans="1:9">
      <c r="A2" s="26">
        <v>40130</v>
      </c>
      <c r="B2" s="3">
        <v>-10183896.199999999</v>
      </c>
      <c r="C2" s="17">
        <f>0.05-0.05*0.75</f>
        <v>1.2499999999999997E-2</v>
      </c>
      <c r="D2" s="14">
        <f t="shared" ref="D2:D8" si="0">(1+C2)^G2</f>
        <v>1</v>
      </c>
      <c r="E2" s="16">
        <f>B2/D2</f>
        <v>-10183896.199999999</v>
      </c>
      <c r="F2" s="16">
        <f>E2</f>
        <v>-10183896.199999999</v>
      </c>
      <c r="G2" s="14">
        <f>1-1</f>
        <v>0</v>
      </c>
    </row>
    <row r="3" spans="1:9">
      <c r="A3" s="26">
        <v>40222</v>
      </c>
      <c r="B3" s="3">
        <v>361411.258975</v>
      </c>
      <c r="C3" s="17">
        <f t="shared" ref="C3:C30" si="1">0.05-0.05*0.75</f>
        <v>1.2499999999999997E-2</v>
      </c>
      <c r="D3" s="14">
        <f t="shared" si="0"/>
        <v>1.003110457464633</v>
      </c>
      <c r="E3" s="16">
        <f>+B3/D3</f>
        <v>360290.59041859547</v>
      </c>
      <c r="F3" s="16">
        <f>F2+E3</f>
        <v>-9823605.6095814034</v>
      </c>
      <c r="G3" s="14">
        <v>0.25</v>
      </c>
      <c r="H3" s="3"/>
      <c r="I3" s="1" t="s">
        <v>5</v>
      </c>
    </row>
    <row r="4" spans="1:9">
      <c r="A4" s="26">
        <v>40311</v>
      </c>
      <c r="B4" s="3">
        <v>361411.258975</v>
      </c>
      <c r="C4" s="17">
        <f t="shared" si="1"/>
        <v>1.2499999999999997E-2</v>
      </c>
      <c r="D4" s="14">
        <f t="shared" si="0"/>
        <v>1.0062305898749053</v>
      </c>
      <c r="E4" s="16">
        <f t="shared" ref="E4:E8" si="2">B4/D4</f>
        <v>359173.39684528043</v>
      </c>
      <c r="F4" s="16">
        <f t="shared" ref="F4:F8" si="3">F3+E4</f>
        <v>-9464432.2127361223</v>
      </c>
      <c r="G4" s="14">
        <v>0.5</v>
      </c>
      <c r="H4" s="3"/>
      <c r="I4" s="4" t="s">
        <v>5</v>
      </c>
    </row>
    <row r="5" spans="1:9">
      <c r="A5" s="26">
        <v>40403</v>
      </c>
      <c r="B5" s="3">
        <v>361411.258975</v>
      </c>
      <c r="C5" s="17">
        <f t="shared" si="1"/>
        <v>1.2499999999999997E-2</v>
      </c>
      <c r="D5" s="14">
        <f t="shared" si="0"/>
        <v>1.0093604273243237</v>
      </c>
      <c r="E5" s="16">
        <f t="shared" si="2"/>
        <v>358059.66747978394</v>
      </c>
      <c r="F5" s="16">
        <f t="shared" si="3"/>
        <v>-9106372.545256339</v>
      </c>
      <c r="G5" s="14">
        <v>0.75</v>
      </c>
      <c r="H5" s="3"/>
    </row>
    <row r="6" spans="1:9">
      <c r="A6" s="26">
        <v>40495</v>
      </c>
      <c r="B6" s="3">
        <v>361411.258975</v>
      </c>
      <c r="C6" s="17">
        <f t="shared" si="1"/>
        <v>1.2499999999999997E-2</v>
      </c>
      <c r="D6" s="14">
        <f t="shared" si="0"/>
        <v>1.0125</v>
      </c>
      <c r="E6" s="16">
        <f t="shared" si="2"/>
        <v>356949.39158024691</v>
      </c>
      <c r="F6" s="16">
        <f t="shared" si="3"/>
        <v>-8749423.1536760926</v>
      </c>
      <c r="G6" s="14">
        <v>1</v>
      </c>
      <c r="H6" s="3"/>
    </row>
    <row r="7" spans="1:9">
      <c r="A7" s="26">
        <v>40587</v>
      </c>
      <c r="B7" s="3">
        <v>361411.258975</v>
      </c>
      <c r="C7" s="17">
        <f t="shared" si="1"/>
        <v>1.2499999999999997E-2</v>
      </c>
      <c r="D7" s="14">
        <f t="shared" si="0"/>
        <v>1.0156493381829408</v>
      </c>
      <c r="E7" s="16">
        <f t="shared" si="2"/>
        <v>355842.55843811901</v>
      </c>
      <c r="F7" s="16">
        <f t="shared" si="3"/>
        <v>-8393580.5952379741</v>
      </c>
      <c r="G7" s="14">
        <v>1.25</v>
      </c>
      <c r="H7" s="3"/>
    </row>
    <row r="8" spans="1:9">
      <c r="A8" s="26">
        <v>40676</v>
      </c>
      <c r="B8" s="3">
        <v>361411.258975</v>
      </c>
      <c r="C8" s="17">
        <f t="shared" si="1"/>
        <v>1.2499999999999997E-2</v>
      </c>
      <c r="D8" s="14">
        <f t="shared" si="0"/>
        <v>1.0188084722483417</v>
      </c>
      <c r="E8" s="16">
        <f t="shared" si="2"/>
        <v>354739.15737805475</v>
      </c>
      <c r="F8" s="16">
        <f t="shared" si="3"/>
        <v>-8038841.4378599189</v>
      </c>
      <c r="G8" s="14">
        <v>1.5</v>
      </c>
      <c r="H8" s="3"/>
    </row>
    <row r="9" spans="1:9">
      <c r="A9" s="26">
        <v>40768</v>
      </c>
      <c r="B9" s="3">
        <v>361411.258975</v>
      </c>
      <c r="C9" s="17">
        <f t="shared" si="1"/>
        <v>1.2499999999999997E-2</v>
      </c>
      <c r="D9" s="14">
        <f t="shared" ref="D9:D30" si="4">(1+C9)^G9</f>
        <v>1.0219774326658779</v>
      </c>
      <c r="E9" s="16">
        <f t="shared" ref="E9:E30" si="5">B9/D9</f>
        <v>353639.17775781127</v>
      </c>
      <c r="F9" s="16">
        <f t="shared" ref="F9:F30" si="6">F8+E9</f>
        <v>-7685202.2601021081</v>
      </c>
      <c r="G9" s="14">
        <v>1.75</v>
      </c>
    </row>
    <row r="10" spans="1:9">
      <c r="A10" s="26">
        <v>40860</v>
      </c>
      <c r="B10" s="3">
        <v>361411.258975</v>
      </c>
      <c r="C10" s="17">
        <f t="shared" si="1"/>
        <v>1.2499999999999997E-2</v>
      </c>
      <c r="D10" s="14">
        <f t="shared" si="4"/>
        <v>1.02515625</v>
      </c>
      <c r="E10" s="16">
        <f t="shared" si="5"/>
        <v>352542.6089681451</v>
      </c>
      <c r="F10" s="16">
        <f t="shared" si="6"/>
        <v>-7332659.6511339629</v>
      </c>
      <c r="G10" s="14">
        <v>2</v>
      </c>
    </row>
    <row r="11" spans="1:9">
      <c r="A11" s="26">
        <v>40952</v>
      </c>
      <c r="B11" s="3">
        <v>361411.258975</v>
      </c>
      <c r="C11" s="17">
        <f t="shared" si="1"/>
        <v>1.2499999999999997E-2</v>
      </c>
      <c r="D11" s="14">
        <f t="shared" si="4"/>
        <v>1.0283449549102277</v>
      </c>
      <c r="E11" s="16">
        <f t="shared" si="5"/>
        <v>351449.44043271011</v>
      </c>
      <c r="F11" s="16">
        <f t="shared" si="6"/>
        <v>-6981210.2107012533</v>
      </c>
      <c r="G11" s="14">
        <v>2.25</v>
      </c>
    </row>
    <row r="12" spans="1:9">
      <c r="A12" s="26">
        <v>41042</v>
      </c>
      <c r="B12" s="3">
        <v>361411.258975</v>
      </c>
      <c r="C12" s="17">
        <f t="shared" si="1"/>
        <v>1.2499999999999997E-2</v>
      </c>
      <c r="D12" s="14">
        <f t="shared" si="4"/>
        <v>1.0315435781514459</v>
      </c>
      <c r="E12" s="16">
        <f t="shared" si="5"/>
        <v>350359.66160795529</v>
      </c>
      <c r="F12" s="16">
        <f t="shared" si="6"/>
        <v>-6630850.5490932977</v>
      </c>
      <c r="G12" s="14">
        <v>2.5</v>
      </c>
    </row>
    <row r="13" spans="1:9">
      <c r="A13" s="26">
        <v>41134</v>
      </c>
      <c r="B13" s="3">
        <v>361411.258975</v>
      </c>
      <c r="C13" s="17">
        <f t="shared" si="1"/>
        <v>1.2499999999999997E-2</v>
      </c>
      <c r="D13" s="14">
        <f t="shared" si="4"/>
        <v>1.0347521505742012</v>
      </c>
      <c r="E13" s="16">
        <f t="shared" si="5"/>
        <v>349273.26198302355</v>
      </c>
      <c r="F13" s="16">
        <f t="shared" si="6"/>
        <v>-6281577.2871102737</v>
      </c>
      <c r="G13" s="14">
        <v>2.75</v>
      </c>
    </row>
    <row r="14" spans="1:9">
      <c r="A14" s="26">
        <v>41226</v>
      </c>
      <c r="B14" s="3">
        <v>361411.258975</v>
      </c>
      <c r="C14" s="17">
        <f t="shared" si="1"/>
        <v>1.2499999999999997E-2</v>
      </c>
      <c r="D14" s="14">
        <f t="shared" si="4"/>
        <v>1.0379707031249998</v>
      </c>
      <c r="E14" s="16">
        <f t="shared" si="5"/>
        <v>348190.23107964953</v>
      </c>
      <c r="F14" s="16">
        <f t="shared" si="6"/>
        <v>-5933387.0560306245</v>
      </c>
      <c r="G14" s="14">
        <v>3</v>
      </c>
    </row>
    <row r="15" spans="1:9">
      <c r="A15" s="26">
        <v>41318</v>
      </c>
      <c r="B15" s="3">
        <v>361411.258975</v>
      </c>
      <c r="C15" s="17">
        <f t="shared" si="1"/>
        <v>1.2499999999999997E-2</v>
      </c>
      <c r="D15" s="14">
        <f t="shared" si="4"/>
        <v>1.0411992668466055</v>
      </c>
      <c r="E15" s="16">
        <f t="shared" si="5"/>
        <v>347110.55845205934</v>
      </c>
      <c r="F15" s="16">
        <f t="shared" si="6"/>
        <v>-5586276.497578565</v>
      </c>
      <c r="G15" s="14">
        <v>3.25</v>
      </c>
    </row>
    <row r="16" spans="1:9">
      <c r="A16" s="26">
        <v>41407</v>
      </c>
      <c r="B16" s="3">
        <v>361411.258975</v>
      </c>
      <c r="C16" s="17">
        <f t="shared" si="1"/>
        <v>1.2499999999999997E-2</v>
      </c>
      <c r="D16" s="14">
        <f t="shared" si="4"/>
        <v>1.0444378728783388</v>
      </c>
      <c r="E16" s="16">
        <f t="shared" si="5"/>
        <v>346034.2336868695</v>
      </c>
      <c r="F16" s="16">
        <f t="shared" si="6"/>
        <v>-5240242.2638916951</v>
      </c>
      <c r="G16" s="14">
        <v>3.5</v>
      </c>
    </row>
    <row r="17" spans="1:7">
      <c r="A17" s="26">
        <v>41499</v>
      </c>
      <c r="B17" s="3">
        <v>361411.258975</v>
      </c>
      <c r="C17" s="17">
        <f t="shared" si="1"/>
        <v>1.2499999999999997E-2</v>
      </c>
      <c r="D17" s="14">
        <f t="shared" si="4"/>
        <v>1.0476865524563788</v>
      </c>
      <c r="E17" s="16">
        <f t="shared" si="5"/>
        <v>344961.24640298623</v>
      </c>
      <c r="F17" s="16">
        <f t="shared" si="6"/>
        <v>-4895281.0174887087</v>
      </c>
      <c r="G17" s="14">
        <v>3.75</v>
      </c>
    </row>
    <row r="18" spans="1:7">
      <c r="A18" s="26">
        <v>41591</v>
      </c>
      <c r="B18" s="3">
        <v>361411.258975</v>
      </c>
      <c r="C18" s="17">
        <f t="shared" si="1"/>
        <v>1.2499999999999997E-2</v>
      </c>
      <c r="D18" s="14">
        <f t="shared" si="4"/>
        <v>1.0509453369140624</v>
      </c>
      <c r="E18" s="16">
        <f t="shared" si="5"/>
        <v>343891.58625150571</v>
      </c>
      <c r="F18" s="16">
        <f t="shared" si="6"/>
        <v>-4551389.4312372031</v>
      </c>
      <c r="G18" s="14">
        <v>4</v>
      </c>
    </row>
    <row r="19" spans="1:7">
      <c r="A19" s="26">
        <v>41683</v>
      </c>
      <c r="B19" s="3">
        <v>361411.258975</v>
      </c>
      <c r="C19" s="17">
        <f t="shared" si="1"/>
        <v>1.2499999999999997E-2</v>
      </c>
      <c r="D19" s="14">
        <f t="shared" si="4"/>
        <v>1.054214257682188</v>
      </c>
      <c r="E19" s="16">
        <f t="shared" si="5"/>
        <v>342825.24291561422</v>
      </c>
      <c r="F19" s="16">
        <f t="shared" si="6"/>
        <v>-4208564.1883215886</v>
      </c>
      <c r="G19" s="14">
        <v>4.25</v>
      </c>
    </row>
    <row r="20" spans="1:7">
      <c r="A20" s="26">
        <v>41772</v>
      </c>
      <c r="B20" s="3">
        <v>361411.258975</v>
      </c>
      <c r="C20" s="17">
        <f t="shared" si="1"/>
        <v>1.2499999999999997E-2</v>
      </c>
      <c r="D20" s="14">
        <f t="shared" si="4"/>
        <v>1.0574933462893181</v>
      </c>
      <c r="E20" s="16">
        <f t="shared" si="5"/>
        <v>341762.20611048839</v>
      </c>
      <c r="F20" s="16">
        <f t="shared" si="6"/>
        <v>-3866801.9822110999</v>
      </c>
      <c r="G20" s="14">
        <v>4.5</v>
      </c>
    </row>
    <row r="21" spans="1:7">
      <c r="A21" s="26">
        <v>41864</v>
      </c>
      <c r="B21" s="3">
        <v>361411.258975</v>
      </c>
      <c r="C21" s="17">
        <f t="shared" si="1"/>
        <v>1.2499999999999997E-2</v>
      </c>
      <c r="D21" s="14">
        <f t="shared" si="4"/>
        <v>1.0607826343620834</v>
      </c>
      <c r="E21" s="16">
        <f t="shared" si="5"/>
        <v>340702.46558319626</v>
      </c>
      <c r="F21" s="16">
        <f t="shared" si="6"/>
        <v>-3526099.5166279036</v>
      </c>
      <c r="G21" s="14">
        <v>4.75</v>
      </c>
    </row>
    <row r="22" spans="1:7">
      <c r="A22" s="26">
        <v>41956</v>
      </c>
      <c r="B22" s="3">
        <v>361411.258975</v>
      </c>
      <c r="C22" s="17">
        <f t="shared" si="1"/>
        <v>1.2499999999999997E-2</v>
      </c>
      <c r="D22" s="14">
        <f t="shared" si="4"/>
        <v>1.0640821536254881</v>
      </c>
      <c r="E22" s="16">
        <f t="shared" si="5"/>
        <v>339646.01111259824</v>
      </c>
      <c r="F22" s="16">
        <f t="shared" si="6"/>
        <v>-3186453.5055153053</v>
      </c>
      <c r="G22" s="14">
        <v>5</v>
      </c>
    </row>
    <row r="23" spans="1:7">
      <c r="A23" s="26">
        <v>42048</v>
      </c>
      <c r="B23" s="3">
        <v>361411.258975</v>
      </c>
      <c r="C23" s="17">
        <f t="shared" si="1"/>
        <v>1.2499999999999997E-2</v>
      </c>
      <c r="D23" s="14">
        <f t="shared" si="4"/>
        <v>1.0673919359032151</v>
      </c>
      <c r="E23" s="16">
        <f t="shared" si="5"/>
        <v>338592.83250924869</v>
      </c>
      <c r="F23" s="16">
        <f t="shared" si="6"/>
        <v>-2847860.6730060568</v>
      </c>
      <c r="G23" s="14">
        <v>5.25</v>
      </c>
    </row>
    <row r="24" spans="1:7">
      <c r="A24" s="26">
        <v>42137</v>
      </c>
      <c r="B24" s="3">
        <v>361411.258975</v>
      </c>
      <c r="C24" s="17">
        <f t="shared" si="1"/>
        <v>1.2499999999999997E-2</v>
      </c>
      <c r="D24" s="14">
        <f t="shared" si="4"/>
        <v>1.0707120131179344</v>
      </c>
      <c r="E24" s="16">
        <f t="shared" si="5"/>
        <v>337542.91961529723</v>
      </c>
      <c r="F24" s="16">
        <f t="shared" si="6"/>
        <v>-2510317.7533907597</v>
      </c>
      <c r="G24" s="14">
        <v>5.5</v>
      </c>
    </row>
    <row r="25" spans="1:7">
      <c r="A25" s="26">
        <v>42229</v>
      </c>
      <c r="B25" s="3">
        <v>361411.258975</v>
      </c>
      <c r="C25" s="17">
        <f t="shared" si="1"/>
        <v>1.2499999999999997E-2</v>
      </c>
      <c r="D25" s="14">
        <f t="shared" si="4"/>
        <v>1.0740424172916094</v>
      </c>
      <c r="E25" s="16">
        <f t="shared" si="5"/>
        <v>336496.26230439142</v>
      </c>
      <c r="F25" s="16">
        <f t="shared" si="6"/>
        <v>-2173821.4910863684</v>
      </c>
      <c r="G25" s="14">
        <v>5.75</v>
      </c>
    </row>
    <row r="26" spans="1:7">
      <c r="A26" s="26">
        <v>42321</v>
      </c>
      <c r="B26" s="3">
        <v>361411.258975</v>
      </c>
      <c r="C26" s="17">
        <f t="shared" si="1"/>
        <v>1.2499999999999997E-2</v>
      </c>
      <c r="D26" s="14">
        <f t="shared" si="4"/>
        <v>1.0773831805458067</v>
      </c>
      <c r="E26" s="16">
        <f t="shared" si="5"/>
        <v>335452.8504815785</v>
      </c>
      <c r="F26" s="16">
        <f t="shared" si="6"/>
        <v>-1838368.6406047898</v>
      </c>
      <c r="G26" s="14">
        <v>6</v>
      </c>
    </row>
    <row r="27" spans="1:7">
      <c r="A27" s="26">
        <v>42413</v>
      </c>
      <c r="B27" s="3">
        <v>361411.258975</v>
      </c>
      <c r="C27" s="17">
        <f t="shared" si="1"/>
        <v>1.2499999999999997E-2</v>
      </c>
      <c r="D27" s="14">
        <f t="shared" si="4"/>
        <v>1.0807343351020053</v>
      </c>
      <c r="E27" s="16">
        <f t="shared" si="5"/>
        <v>334412.67408320855</v>
      </c>
      <c r="F27" s="16">
        <f t="shared" si="6"/>
        <v>-1503955.9665215812</v>
      </c>
      <c r="G27" s="14">
        <v>6.25</v>
      </c>
    </row>
    <row r="28" spans="1:7">
      <c r="A28" s="26">
        <v>42503</v>
      </c>
      <c r="B28" s="3">
        <v>361411.258975</v>
      </c>
      <c r="C28" s="17">
        <f t="shared" si="1"/>
        <v>1.2499999999999997E-2</v>
      </c>
      <c r="D28" s="14">
        <f t="shared" si="4"/>
        <v>1.0840959132819086</v>
      </c>
      <c r="E28" s="16">
        <f t="shared" si="5"/>
        <v>333375.72307683679</v>
      </c>
      <c r="F28" s="16">
        <f t="shared" si="6"/>
        <v>-1170580.2434447445</v>
      </c>
      <c r="G28" s="14">
        <v>6.5</v>
      </c>
    </row>
    <row r="29" spans="1:7">
      <c r="A29" s="26">
        <v>42595</v>
      </c>
      <c r="B29" s="3">
        <v>361411.258975</v>
      </c>
      <c r="C29" s="17">
        <f t="shared" si="1"/>
        <v>1.2499999999999997E-2</v>
      </c>
      <c r="D29" s="14">
        <f t="shared" si="4"/>
        <v>1.0874679475077544</v>
      </c>
      <c r="E29" s="16">
        <f t="shared" si="5"/>
        <v>332341.98746112734</v>
      </c>
      <c r="F29" s="16">
        <f t="shared" si="6"/>
        <v>-838238.25598361716</v>
      </c>
      <c r="G29" s="14">
        <v>6.75</v>
      </c>
    </row>
    <row r="30" spans="1:7">
      <c r="A30" s="26">
        <v>42687</v>
      </c>
      <c r="B30" s="3">
        <v>11481757.688975001</v>
      </c>
      <c r="C30" s="17">
        <f t="shared" si="1"/>
        <v>1.2499999999999997E-2</v>
      </c>
      <c r="D30" s="14">
        <f t="shared" si="4"/>
        <v>1.0908504703026292</v>
      </c>
      <c r="E30" s="16">
        <f t="shared" si="5"/>
        <v>10525510.14236596</v>
      </c>
      <c r="F30" s="16">
        <f t="shared" si="6"/>
        <v>9687271.8863823432</v>
      </c>
      <c r="G30" s="14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F0"/>
  </sheetPr>
  <dimension ref="A1:H30"/>
  <sheetViews>
    <sheetView workbookViewId="0">
      <selection activeCell="A2" sqref="A2:B30"/>
    </sheetView>
  </sheetViews>
  <sheetFormatPr defaultRowHeight="12.75"/>
  <cols>
    <col min="2" max="2" width="13.42578125" bestFit="1" customWidth="1"/>
    <col min="3" max="3" width="6.5703125" bestFit="1" customWidth="1"/>
    <col min="4" max="4" width="13.140625" bestFit="1" customWidth="1"/>
    <col min="5" max="5" width="12.28515625" bestFit="1" customWidth="1"/>
    <col min="6" max="6" width="22.28515625" bestFit="1" customWidth="1"/>
    <col min="7" max="7" width="18.28515625" bestFit="1" customWidth="1"/>
    <col min="8" max="8" width="14.5703125" bestFit="1" customWidth="1"/>
  </cols>
  <sheetData>
    <row r="1" spans="1:8">
      <c r="A1" s="14"/>
      <c r="B1" s="14" t="s">
        <v>0</v>
      </c>
      <c r="C1" s="14" t="s">
        <v>4</v>
      </c>
      <c r="D1" s="14" t="s">
        <v>1</v>
      </c>
      <c r="E1" s="14" t="s">
        <v>2</v>
      </c>
      <c r="F1" s="14" t="s">
        <v>3</v>
      </c>
      <c r="G1" s="14" t="s">
        <v>7</v>
      </c>
    </row>
    <row r="2" spans="1:8">
      <c r="A2" s="26">
        <v>40130</v>
      </c>
      <c r="B2" s="3">
        <v>-10183896.199999999</v>
      </c>
      <c r="C2" s="19">
        <f>0.05+0.05*0.75</f>
        <v>8.7500000000000008E-2</v>
      </c>
      <c r="D2" s="14">
        <f t="shared" ref="D2:D8" si="0">(1+C2)^G2</f>
        <v>1</v>
      </c>
      <c r="E2" s="20">
        <f>B2/D2</f>
        <v>-10183896.199999999</v>
      </c>
      <c r="F2" s="20">
        <f>E2</f>
        <v>-10183896.199999999</v>
      </c>
      <c r="G2" s="14">
        <f>1-1</f>
        <v>0</v>
      </c>
    </row>
    <row r="3" spans="1:8">
      <c r="A3" s="26">
        <v>40222</v>
      </c>
      <c r="B3" s="3">
        <v>361411.258975</v>
      </c>
      <c r="C3" s="19">
        <f t="shared" ref="C3:C30" si="1">0.05+0.05*0.75</f>
        <v>8.7500000000000008E-2</v>
      </c>
      <c r="D3" s="14">
        <f t="shared" si="0"/>
        <v>1.0211917942926836</v>
      </c>
      <c r="E3" s="20">
        <f>B3/D3</f>
        <v>353911.24467987643</v>
      </c>
      <c r="F3" s="21">
        <f>F2+E3</f>
        <v>-9829984.9553201236</v>
      </c>
      <c r="G3" s="14">
        <v>0.25</v>
      </c>
      <c r="H3" s="3" t="s">
        <v>5</v>
      </c>
    </row>
    <row r="4" spans="1:8">
      <c r="A4" s="26">
        <v>40311</v>
      </c>
      <c r="B4" s="3">
        <v>361411.258975</v>
      </c>
      <c r="C4" s="19">
        <f t="shared" si="1"/>
        <v>8.7500000000000008E-2</v>
      </c>
      <c r="D4" s="14">
        <f t="shared" si="0"/>
        <v>1.0428326807307104</v>
      </c>
      <c r="E4" s="20">
        <f t="shared" ref="E4:E8" si="2">B4/D4</f>
        <v>346566.87084428535</v>
      </c>
      <c r="F4" s="21">
        <f t="shared" ref="F4:F8" si="3">F3+E4</f>
        <v>-9483418.0844758376</v>
      </c>
      <c r="G4" s="14">
        <v>0.5</v>
      </c>
    </row>
    <row r="5" spans="1:8">
      <c r="A5" s="26">
        <v>40403</v>
      </c>
      <c r="B5" s="3">
        <v>361411.258975</v>
      </c>
      <c r="C5" s="19">
        <f t="shared" si="1"/>
        <v>8.7500000000000008E-2</v>
      </c>
      <c r="D5" s="14">
        <f t="shared" si="0"/>
        <v>1.0649321763824433</v>
      </c>
      <c r="E5" s="20">
        <f t="shared" si="2"/>
        <v>339374.90761403041</v>
      </c>
      <c r="F5" s="21">
        <f t="shared" si="3"/>
        <v>-9144043.1768618077</v>
      </c>
      <c r="G5" s="14">
        <v>0.75</v>
      </c>
    </row>
    <row r="6" spans="1:8">
      <c r="A6" s="26">
        <v>40495</v>
      </c>
      <c r="B6" s="3">
        <v>361411.258975</v>
      </c>
      <c r="C6" s="19">
        <f t="shared" si="1"/>
        <v>8.7500000000000008E-2</v>
      </c>
      <c r="D6" s="14">
        <f t="shared" si="0"/>
        <v>1.0874999999999999</v>
      </c>
      <c r="E6" s="20">
        <f t="shared" si="2"/>
        <v>332332.1921609196</v>
      </c>
      <c r="F6" s="21">
        <f t="shared" si="3"/>
        <v>-8811710.9847008884</v>
      </c>
      <c r="G6" s="14">
        <v>1</v>
      </c>
    </row>
    <row r="7" spans="1:8">
      <c r="A7" s="26">
        <v>40587</v>
      </c>
      <c r="B7" s="3">
        <v>361411.258975</v>
      </c>
      <c r="C7" s="19">
        <f t="shared" si="1"/>
        <v>8.7500000000000008E-2</v>
      </c>
      <c r="D7" s="14">
        <f t="shared" si="0"/>
        <v>1.1105460762932933</v>
      </c>
      <c r="E7" s="20">
        <f t="shared" si="2"/>
        <v>325435.62729184044</v>
      </c>
      <c r="F7" s="21">
        <f t="shared" si="3"/>
        <v>-8486275.3574090488</v>
      </c>
      <c r="G7" s="14">
        <v>1.25</v>
      </c>
    </row>
    <row r="8" spans="1:8">
      <c r="A8" s="26">
        <v>40676</v>
      </c>
      <c r="B8" s="3">
        <v>361411.258975</v>
      </c>
      <c r="C8" s="19">
        <f t="shared" si="1"/>
        <v>8.7500000000000008E-2</v>
      </c>
      <c r="D8" s="14">
        <f t="shared" si="0"/>
        <v>1.1340805402946474</v>
      </c>
      <c r="E8" s="20">
        <f t="shared" si="2"/>
        <v>318682.18008669926</v>
      </c>
      <c r="F8" s="16">
        <f t="shared" si="3"/>
        <v>-8167593.1773223495</v>
      </c>
      <c r="G8" s="14">
        <v>1.5</v>
      </c>
    </row>
    <row r="9" spans="1:8">
      <c r="A9" s="26">
        <v>40768</v>
      </c>
      <c r="B9" s="3">
        <v>361411.258975</v>
      </c>
      <c r="C9" s="19">
        <f t="shared" si="1"/>
        <v>8.7500000000000008E-2</v>
      </c>
      <c r="D9" s="14">
        <f t="shared" ref="D9:D30" si="4">(1+C9)^G9</f>
        <v>1.1581137418159071</v>
      </c>
      <c r="E9" s="20">
        <f t="shared" ref="E9:E30" si="5">B9/D9</f>
        <v>312068.88056462567</v>
      </c>
      <c r="F9" s="16">
        <f t="shared" ref="F9:F30" si="6">F8+E9</f>
        <v>-7855524.2967577241</v>
      </c>
      <c r="G9" s="14">
        <v>1.75</v>
      </c>
    </row>
    <row r="10" spans="1:8">
      <c r="A10" s="26">
        <v>40860</v>
      </c>
      <c r="B10" s="3">
        <v>361411.258975</v>
      </c>
      <c r="C10" s="19">
        <f t="shared" si="1"/>
        <v>8.7500000000000008E-2</v>
      </c>
      <c r="D10" s="14">
        <f t="shared" si="4"/>
        <v>1.1826562499999997</v>
      </c>
      <c r="E10" s="20">
        <f t="shared" si="5"/>
        <v>305592.82037785713</v>
      </c>
      <c r="F10" s="16">
        <f t="shared" si="6"/>
        <v>-7549931.4763798667</v>
      </c>
      <c r="G10" s="14">
        <v>2</v>
      </c>
    </row>
    <row r="11" spans="1:8">
      <c r="A11" s="26">
        <v>40952</v>
      </c>
      <c r="B11" s="3">
        <v>361411.258975</v>
      </c>
      <c r="C11" s="19">
        <f t="shared" si="1"/>
        <v>8.7500000000000008E-2</v>
      </c>
      <c r="D11" s="14">
        <f t="shared" si="4"/>
        <v>1.2077188579689564</v>
      </c>
      <c r="E11" s="20">
        <f t="shared" si="5"/>
        <v>299251.15153272689</v>
      </c>
      <c r="F11" s="16">
        <f t="shared" si="6"/>
        <v>-7250680.3248471394</v>
      </c>
      <c r="G11" s="14">
        <v>2.25</v>
      </c>
    </row>
    <row r="12" spans="1:8">
      <c r="A12" s="26">
        <v>41042</v>
      </c>
      <c r="B12" s="3">
        <v>361411.258975</v>
      </c>
      <c r="C12" s="19">
        <f t="shared" si="1"/>
        <v>8.7500000000000008E-2</v>
      </c>
      <c r="D12" s="14">
        <f t="shared" si="4"/>
        <v>1.2333125875704292</v>
      </c>
      <c r="E12" s="20">
        <f t="shared" si="5"/>
        <v>293041.08513719466</v>
      </c>
      <c r="F12" s="16">
        <f t="shared" si="6"/>
        <v>-6957639.2397099445</v>
      </c>
      <c r="G12" s="14">
        <v>2.5</v>
      </c>
    </row>
    <row r="13" spans="1:8">
      <c r="A13" s="26">
        <v>41134</v>
      </c>
      <c r="B13" s="3">
        <v>361411.258975</v>
      </c>
      <c r="C13" s="19">
        <f t="shared" si="1"/>
        <v>8.7500000000000008E-2</v>
      </c>
      <c r="D13" s="14">
        <f t="shared" si="4"/>
        <v>1.2594486942247989</v>
      </c>
      <c r="E13" s="20">
        <f t="shared" si="5"/>
        <v>286959.8901743684</v>
      </c>
      <c r="F13" s="16">
        <f t="shared" si="6"/>
        <v>-6670679.3495355761</v>
      </c>
      <c r="G13" s="14">
        <v>2.75</v>
      </c>
    </row>
    <row r="14" spans="1:8">
      <c r="A14" s="26">
        <v>41226</v>
      </c>
      <c r="B14" s="3">
        <v>361411.258975</v>
      </c>
      <c r="C14" s="19">
        <f t="shared" si="1"/>
        <v>8.7500000000000008E-2</v>
      </c>
      <c r="D14" s="14">
        <f t="shared" si="4"/>
        <v>1.2861386718749996</v>
      </c>
      <c r="E14" s="20">
        <f t="shared" si="5"/>
        <v>281004.89230147784</v>
      </c>
      <c r="F14" s="16">
        <f t="shared" si="6"/>
        <v>-6389674.4572340986</v>
      </c>
      <c r="G14" s="14">
        <v>3</v>
      </c>
    </row>
    <row r="15" spans="1:8">
      <c r="A15" s="26">
        <v>41318</v>
      </c>
      <c r="B15" s="3">
        <v>361411.258975</v>
      </c>
      <c r="C15" s="19">
        <f t="shared" si="1"/>
        <v>8.7500000000000008E-2</v>
      </c>
      <c r="D15" s="14">
        <f t="shared" si="4"/>
        <v>1.3133942580412399</v>
      </c>
      <c r="E15" s="20">
        <f t="shared" si="5"/>
        <v>275173.47267377184</v>
      </c>
      <c r="F15" s="16">
        <f t="shared" si="6"/>
        <v>-6114500.9845603267</v>
      </c>
      <c r="G15" s="14">
        <v>3.25</v>
      </c>
    </row>
    <row r="16" spans="1:8">
      <c r="A16" s="26">
        <v>41407</v>
      </c>
      <c r="B16" s="3">
        <v>361411.258975</v>
      </c>
      <c r="C16" s="19">
        <f t="shared" si="1"/>
        <v>8.7500000000000008E-2</v>
      </c>
      <c r="D16" s="14">
        <f t="shared" si="4"/>
        <v>1.3412274389828416</v>
      </c>
      <c r="E16" s="20">
        <f t="shared" si="5"/>
        <v>269463.06679282273</v>
      </c>
      <c r="F16" s="16">
        <f t="shared" si="6"/>
        <v>-5845037.9177675042</v>
      </c>
      <c r="G16" s="14">
        <v>3.5</v>
      </c>
    </row>
    <row r="17" spans="1:7">
      <c r="A17" s="26">
        <v>41499</v>
      </c>
      <c r="B17" s="3">
        <v>361411.258975</v>
      </c>
      <c r="C17" s="19">
        <f t="shared" si="1"/>
        <v>8.7500000000000008E-2</v>
      </c>
      <c r="D17" s="14">
        <f t="shared" si="4"/>
        <v>1.3696504549694686</v>
      </c>
      <c r="E17" s="20">
        <f t="shared" si="5"/>
        <v>263871.1633787296</v>
      </c>
      <c r="F17" s="16">
        <f t="shared" si="6"/>
        <v>-5581166.7543887747</v>
      </c>
      <c r="G17" s="14">
        <v>3.75</v>
      </c>
    </row>
    <row r="18" spans="1:7">
      <c r="A18" s="26">
        <v>41591</v>
      </c>
      <c r="B18" s="3">
        <v>361411.258975</v>
      </c>
      <c r="C18" s="19">
        <f t="shared" si="1"/>
        <v>8.7500000000000008E-2</v>
      </c>
      <c r="D18" s="14">
        <f t="shared" si="4"/>
        <v>1.3986758056640618</v>
      </c>
      <c r="E18" s="20">
        <f t="shared" si="5"/>
        <v>258395.3032657268</v>
      </c>
      <c r="F18" s="16">
        <f t="shared" si="6"/>
        <v>-5322771.4511230476</v>
      </c>
      <c r="G18" s="14">
        <v>4</v>
      </c>
    </row>
    <row r="19" spans="1:7">
      <c r="A19" s="26">
        <v>41683</v>
      </c>
      <c r="B19" s="3">
        <v>361411.258975</v>
      </c>
      <c r="C19" s="19">
        <f t="shared" si="1"/>
        <v>8.7500000000000008E-2</v>
      </c>
      <c r="D19" s="14">
        <f t="shared" si="4"/>
        <v>1.4283162556198483</v>
      </c>
      <c r="E19" s="20">
        <f t="shared" si="5"/>
        <v>253033.07832070978</v>
      </c>
      <c r="F19" s="16">
        <f t="shared" si="6"/>
        <v>-5069738.3728023376</v>
      </c>
      <c r="G19" s="14">
        <v>4.25</v>
      </c>
    </row>
    <row r="20" spans="1:7">
      <c r="A20" s="26">
        <v>41772</v>
      </c>
      <c r="B20" s="3">
        <v>361411.258975</v>
      </c>
      <c r="C20" s="19">
        <f t="shared" si="1"/>
        <v>8.7500000000000008E-2</v>
      </c>
      <c r="D20" s="14">
        <f t="shared" si="4"/>
        <v>1.4585848398938401</v>
      </c>
      <c r="E20" s="20">
        <f t="shared" si="5"/>
        <v>247782.13038420482</v>
      </c>
      <c r="F20" s="16">
        <f t="shared" si="6"/>
        <v>-4821956.2424181327</v>
      </c>
      <c r="G20" s="14">
        <v>4.5</v>
      </c>
    </row>
    <row r="21" spans="1:7">
      <c r="A21" s="26">
        <v>41864</v>
      </c>
      <c r="B21" s="3">
        <v>361411.258975</v>
      </c>
      <c r="C21" s="19">
        <f t="shared" si="1"/>
        <v>8.7500000000000008E-2</v>
      </c>
      <c r="D21" s="14">
        <f t="shared" si="4"/>
        <v>1.4894948697792971</v>
      </c>
      <c r="E21" s="20">
        <f t="shared" si="5"/>
        <v>242640.15023331458</v>
      </c>
      <c r="F21" s="16">
        <f t="shared" si="6"/>
        <v>-4579316.0921848183</v>
      </c>
      <c r="G21" s="14">
        <v>4.75</v>
      </c>
    </row>
    <row r="22" spans="1:7">
      <c r="A22" s="26">
        <v>41956</v>
      </c>
      <c r="B22" s="3">
        <v>361411.258975</v>
      </c>
      <c r="C22" s="19">
        <f t="shared" si="1"/>
        <v>8.7500000000000008E-2</v>
      </c>
      <c r="D22" s="14">
        <f t="shared" si="4"/>
        <v>1.521059938659667</v>
      </c>
      <c r="E22" s="20">
        <f t="shared" si="5"/>
        <v>237604.87656618559</v>
      </c>
      <c r="F22" s="16">
        <f t="shared" si="6"/>
        <v>-4341711.2156186327</v>
      </c>
      <c r="G22" s="14">
        <v>5</v>
      </c>
    </row>
    <row r="23" spans="1:7">
      <c r="A23" s="26">
        <v>42048</v>
      </c>
      <c r="B23" s="3">
        <v>361411.258975</v>
      </c>
      <c r="C23" s="19">
        <f t="shared" si="1"/>
        <v>8.7500000000000008E-2</v>
      </c>
      <c r="D23" s="14">
        <f t="shared" si="4"/>
        <v>1.5532939279865847</v>
      </c>
      <c r="E23" s="20">
        <f t="shared" si="5"/>
        <v>232674.09500754927</v>
      </c>
      <c r="F23" s="16">
        <f t="shared" si="6"/>
        <v>-4109037.1206110837</v>
      </c>
      <c r="G23" s="14">
        <v>5.25</v>
      </c>
    </row>
    <row r="24" spans="1:7">
      <c r="A24" s="26">
        <v>42137</v>
      </c>
      <c r="B24" s="3">
        <v>361411.258975</v>
      </c>
      <c r="C24" s="19">
        <f t="shared" si="1"/>
        <v>8.7500000000000008E-2</v>
      </c>
      <c r="D24" s="14">
        <f t="shared" si="4"/>
        <v>1.5862110133845508</v>
      </c>
      <c r="E24" s="20">
        <f t="shared" si="5"/>
        <v>227845.63713490102</v>
      </c>
      <c r="F24" s="16">
        <f t="shared" si="6"/>
        <v>-3881191.4834761824</v>
      </c>
      <c r="G24" s="14">
        <v>5.5</v>
      </c>
    </row>
    <row r="25" spans="1:7">
      <c r="A25" s="26">
        <v>42229</v>
      </c>
      <c r="B25" s="3">
        <v>361411.258975</v>
      </c>
      <c r="C25" s="19">
        <f t="shared" si="1"/>
        <v>8.7500000000000008E-2</v>
      </c>
      <c r="D25" s="14">
        <f t="shared" si="4"/>
        <v>1.6198256708849854</v>
      </c>
      <c r="E25" s="20">
        <f t="shared" si="5"/>
        <v>223117.37952488702</v>
      </c>
      <c r="F25" s="16">
        <f t="shared" si="6"/>
        <v>-3658074.1039512954</v>
      </c>
      <c r="G25" s="14">
        <v>5.75</v>
      </c>
    </row>
    <row r="26" spans="1:7">
      <c r="A26" s="26">
        <v>42321</v>
      </c>
      <c r="B26" s="3">
        <v>361411.258975</v>
      </c>
      <c r="C26" s="19">
        <f t="shared" si="1"/>
        <v>8.7500000000000008E-2</v>
      </c>
      <c r="D26" s="14">
        <f t="shared" si="4"/>
        <v>1.6541526832923876</v>
      </c>
      <c r="E26" s="20">
        <f t="shared" si="5"/>
        <v>218487.24281948103</v>
      </c>
      <c r="F26" s="16">
        <f t="shared" si="6"/>
        <v>-3439586.8611318143</v>
      </c>
      <c r="G26" s="14">
        <v>6</v>
      </c>
    </row>
    <row r="27" spans="1:7">
      <c r="A27" s="26">
        <v>42413</v>
      </c>
      <c r="B27" s="3">
        <v>361411.258975</v>
      </c>
      <c r="C27" s="19">
        <f t="shared" si="1"/>
        <v>8.7500000000000008E-2</v>
      </c>
      <c r="D27" s="14">
        <f t="shared" si="4"/>
        <v>1.6892071466854108</v>
      </c>
      <c r="E27" s="20">
        <f t="shared" si="5"/>
        <v>213953.19081153956</v>
      </c>
      <c r="F27" s="16">
        <f t="shared" si="6"/>
        <v>-3225633.6703202748</v>
      </c>
      <c r="G27" s="14">
        <v>6.25</v>
      </c>
    </row>
    <row r="28" spans="1:7">
      <c r="A28" s="26">
        <v>42503</v>
      </c>
      <c r="B28" s="3">
        <v>361411.258975</v>
      </c>
      <c r="C28" s="19">
        <f t="shared" si="1"/>
        <v>8.7500000000000008E-2</v>
      </c>
      <c r="D28" s="14">
        <f t="shared" si="4"/>
        <v>1.7250044770556989</v>
      </c>
      <c r="E28" s="20">
        <f t="shared" si="5"/>
        <v>209513.2295493343</v>
      </c>
      <c r="F28" s="16">
        <f t="shared" si="6"/>
        <v>-3016120.4407709404</v>
      </c>
      <c r="G28" s="14">
        <v>6.5</v>
      </c>
    </row>
    <row r="29" spans="1:7">
      <c r="A29" s="26">
        <v>42595</v>
      </c>
      <c r="B29" s="3">
        <v>361411.258975</v>
      </c>
      <c r="C29" s="19">
        <f t="shared" si="1"/>
        <v>8.7500000000000008E-2</v>
      </c>
      <c r="D29" s="14">
        <f t="shared" si="4"/>
        <v>1.7615604170874215</v>
      </c>
      <c r="E29" s="20">
        <f t="shared" si="5"/>
        <v>205165.40645966624</v>
      </c>
      <c r="F29" s="16">
        <f t="shared" si="6"/>
        <v>-2810955.0343112741</v>
      </c>
      <c r="G29" s="14">
        <v>6.75</v>
      </c>
    </row>
    <row r="30" spans="1:7">
      <c r="A30" s="26">
        <v>42687</v>
      </c>
      <c r="B30" s="3">
        <v>11481757.688975001</v>
      </c>
      <c r="C30" s="19">
        <f t="shared" si="1"/>
        <v>8.7500000000000008E-2</v>
      </c>
      <c r="D30" s="14">
        <f t="shared" si="4"/>
        <v>1.7988910430804714</v>
      </c>
      <c r="E30" s="20">
        <f t="shared" si="5"/>
        <v>6382686.563002347</v>
      </c>
      <c r="F30" s="16">
        <f t="shared" si="6"/>
        <v>3571731.5286910729</v>
      </c>
      <c r="G30" s="14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F0"/>
  </sheetPr>
  <dimension ref="A1:C8"/>
  <sheetViews>
    <sheetView workbookViewId="0">
      <selection activeCell="B8" sqref="B8"/>
    </sheetView>
  </sheetViews>
  <sheetFormatPr defaultRowHeight="12.75"/>
  <cols>
    <col min="2" max="2" width="12.85546875" bestFit="1" customWidth="1"/>
  </cols>
  <sheetData>
    <row r="1" spans="1:3">
      <c r="A1" s="1" t="s">
        <v>8</v>
      </c>
    </row>
    <row r="4" spans="1:3">
      <c r="A4" s="9" t="s">
        <v>11</v>
      </c>
      <c r="B4" s="7">
        <f>B5-B7*(B5-B6)/(B7-B8)</f>
        <v>0.13130313904967181</v>
      </c>
      <c r="C4" s="1" t="s">
        <v>21</v>
      </c>
    </row>
    <row r="5" spans="1:3">
      <c r="A5" s="10" t="s">
        <v>9</v>
      </c>
      <c r="B5">
        <v>8.7499999999999994E-2</v>
      </c>
      <c r="C5" s="1" t="s">
        <v>17</v>
      </c>
    </row>
    <row r="6" spans="1:3">
      <c r="A6" s="10" t="s">
        <v>10</v>
      </c>
      <c r="B6">
        <v>1.2500000000000001E-2</v>
      </c>
      <c r="C6" s="1" t="s">
        <v>18</v>
      </c>
    </row>
    <row r="7" spans="1:3">
      <c r="A7" s="10" t="s">
        <v>12</v>
      </c>
      <c r="B7" s="5">
        <f>'Iteration 3 '!F30</f>
        <v>3571731.5286910729</v>
      </c>
      <c r="C7" s="1" t="s">
        <v>19</v>
      </c>
    </row>
    <row r="8" spans="1:3">
      <c r="A8" s="10" t="s">
        <v>13</v>
      </c>
      <c r="B8" s="5">
        <f>'Iteration 2 '!F30</f>
        <v>9687271.8863823432</v>
      </c>
      <c r="C8" s="1" t="s">
        <v>20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B0F0"/>
  </sheetPr>
  <dimension ref="A1:I30"/>
  <sheetViews>
    <sheetView workbookViewId="0">
      <selection activeCell="C8" sqref="C8:F30"/>
    </sheetView>
  </sheetViews>
  <sheetFormatPr defaultRowHeight="12.75"/>
  <cols>
    <col min="2" max="2" width="13.42578125" bestFit="1" customWidth="1"/>
    <col min="3" max="3" width="6.5703125" bestFit="1" customWidth="1"/>
    <col min="4" max="4" width="13.140625" bestFit="1" customWidth="1"/>
    <col min="5" max="5" width="14.5703125" bestFit="1" customWidth="1"/>
    <col min="6" max="6" width="22.42578125" bestFit="1" customWidth="1"/>
    <col min="7" max="7" width="13" customWidth="1"/>
    <col min="8" max="8" width="1.5703125" bestFit="1" customWidth="1"/>
    <col min="9" max="9" width="14.5703125" bestFit="1" customWidth="1"/>
  </cols>
  <sheetData>
    <row r="1" spans="1:9">
      <c r="A1" s="2"/>
      <c r="B1" s="2" t="s">
        <v>0</v>
      </c>
      <c r="C1" s="2" t="s">
        <v>4</v>
      </c>
      <c r="D1" s="2" t="s">
        <v>1</v>
      </c>
      <c r="E1" s="2" t="s">
        <v>2</v>
      </c>
      <c r="F1" s="2" t="s">
        <v>3</v>
      </c>
      <c r="G1" s="2" t="s">
        <v>7</v>
      </c>
    </row>
    <row r="2" spans="1:9">
      <c r="A2" s="26">
        <v>40130</v>
      </c>
      <c r="B2" s="3">
        <v>-10183896.199999999</v>
      </c>
      <c r="C2" s="18">
        <f>'Get Rate for Iteration 4'!$B$4</f>
        <v>0.13130313904967181</v>
      </c>
      <c r="D2" s="2">
        <f t="shared" ref="D2:D8" si="0">(1+C2)^G2</f>
        <v>1</v>
      </c>
      <c r="E2" s="13">
        <f>B2/D2</f>
        <v>-10183896.199999999</v>
      </c>
      <c r="F2" s="13">
        <f>E2</f>
        <v>-10183896.199999999</v>
      </c>
      <c r="G2" s="14">
        <f>1-1</f>
        <v>0</v>
      </c>
      <c r="H2" s="11" t="s">
        <v>5</v>
      </c>
      <c r="I2" s="11" t="s">
        <v>5</v>
      </c>
    </row>
    <row r="3" spans="1:9">
      <c r="A3" s="26">
        <v>40222</v>
      </c>
      <c r="B3" s="3">
        <v>361411.258975</v>
      </c>
      <c r="C3" s="18">
        <f>'Get Rate for Iteration 4'!$B$4</f>
        <v>0.13130313904967181</v>
      </c>
      <c r="D3" s="2">
        <f t="shared" si="0"/>
        <v>1.0313231063586812</v>
      </c>
      <c r="E3" s="13">
        <f>B3/D3</f>
        <v>350434.55998095882</v>
      </c>
      <c r="F3" s="13">
        <f>F2+E3</f>
        <v>-9833461.6400190406</v>
      </c>
      <c r="G3" s="14">
        <v>0.25</v>
      </c>
      <c r="I3" s="3" t="s">
        <v>5</v>
      </c>
    </row>
    <row r="4" spans="1:9">
      <c r="A4" s="26">
        <v>40311</v>
      </c>
      <c r="B4" s="3">
        <v>361411.258975</v>
      </c>
      <c r="C4" s="18">
        <f>'Get Rate for Iteration 4'!$B$4</f>
        <v>0.13130313904967181</v>
      </c>
      <c r="D4" s="2">
        <f t="shared" si="0"/>
        <v>1.0636273497093198</v>
      </c>
      <c r="E4" s="13">
        <f t="shared" ref="E4:E8" si="1">B4/D4</f>
        <v>339791.24274471746</v>
      </c>
      <c r="F4" s="13">
        <f t="shared" ref="F4:F8" si="2">F3+E4</f>
        <v>-9493670.3972743228</v>
      </c>
      <c r="G4" s="14">
        <v>0.5</v>
      </c>
    </row>
    <row r="5" spans="1:9">
      <c r="A5" s="26">
        <v>40403</v>
      </c>
      <c r="B5" s="3">
        <v>361411.258975</v>
      </c>
      <c r="C5" s="18">
        <f>'Get Rate for Iteration 4'!$B$4</f>
        <v>0.13130313904967181</v>
      </c>
      <c r="D5" s="2">
        <f t="shared" si="0"/>
        <v>1.0969434623102672</v>
      </c>
      <c r="E5" s="13">
        <f t="shared" si="1"/>
        <v>329471.18187279545</v>
      </c>
      <c r="F5" s="13">
        <f t="shared" si="2"/>
        <v>-9164199.2154015265</v>
      </c>
      <c r="G5" s="14">
        <v>0.75</v>
      </c>
    </row>
    <row r="6" spans="1:9">
      <c r="A6" s="26">
        <v>40495</v>
      </c>
      <c r="B6" s="3">
        <v>361411.258975</v>
      </c>
      <c r="C6" s="18">
        <f>'Get Rate for Iteration 4'!$B$4</f>
        <v>0.13130313904967181</v>
      </c>
      <c r="D6" s="2">
        <f t="shared" si="0"/>
        <v>1.1313031390496717</v>
      </c>
      <c r="E6" s="13">
        <f t="shared" si="1"/>
        <v>319464.55949781614</v>
      </c>
      <c r="F6" s="13">
        <f t="shared" si="2"/>
        <v>-8844734.6559037101</v>
      </c>
      <c r="G6" s="14">
        <v>1</v>
      </c>
    </row>
    <row r="7" spans="1:9">
      <c r="A7" s="26">
        <v>40587</v>
      </c>
      <c r="B7" s="3">
        <v>361411.258975</v>
      </c>
      <c r="C7" s="18">
        <f>'Get Rate for Iteration 4'!$B$4</f>
        <v>0.13130313904967181</v>
      </c>
      <c r="D7" s="2">
        <f t="shared" si="0"/>
        <v>1.1667390675980347</v>
      </c>
      <c r="E7" s="13">
        <f t="shared" si="1"/>
        <v>309761.85593839525</v>
      </c>
      <c r="F7" s="13">
        <f t="shared" si="2"/>
        <v>-8534972.7999653146</v>
      </c>
      <c r="G7" s="14">
        <v>1.25</v>
      </c>
    </row>
    <row r="8" spans="1:9">
      <c r="A8" s="26">
        <v>40676</v>
      </c>
      <c r="B8" s="3">
        <v>361411.258975</v>
      </c>
      <c r="C8" s="18">
        <f>'Get Rate for Iteration 4'!$B$4</f>
        <v>0.13130313904967181</v>
      </c>
      <c r="D8" s="2">
        <f t="shared" si="0"/>
        <v>1.2032849595052364</v>
      </c>
      <c r="E8" s="13">
        <f t="shared" si="1"/>
        <v>300353.84064270539</v>
      </c>
      <c r="F8" s="13">
        <f t="shared" si="2"/>
        <v>-8234618.959322609</v>
      </c>
      <c r="G8" s="14">
        <v>1.5</v>
      </c>
    </row>
    <row r="9" spans="1:9">
      <c r="A9" s="26">
        <v>40768</v>
      </c>
      <c r="B9" s="3">
        <v>361411.258975</v>
      </c>
      <c r="C9" s="18">
        <f>'Get Rate for Iteration 4'!$B$4</f>
        <v>0.13130313904967181</v>
      </c>
      <c r="D9" s="2">
        <f t="shared" ref="D9:D30" si="3">(1+C9)^G9</f>
        <v>1.2409755822716204</v>
      </c>
      <c r="E9" s="13">
        <f t="shared" ref="E9:E30" si="4">B9/D9</f>
        <v>291231.56340709981</v>
      </c>
      <c r="F9" s="13">
        <f t="shared" ref="F9:F30" si="5">F8+E9</f>
        <v>-7943387.3959155092</v>
      </c>
      <c r="G9" s="14">
        <v>1.75</v>
      </c>
    </row>
    <row r="10" spans="1:9">
      <c r="A10" s="26">
        <v>40860</v>
      </c>
      <c r="B10" s="3">
        <v>361411.258975</v>
      </c>
      <c r="C10" s="18">
        <f>'Get Rate for Iteration 4'!$B$4</f>
        <v>0.13130313904967181</v>
      </c>
      <c r="D10" s="2">
        <f t="shared" si="3"/>
        <v>1.279846792423641</v>
      </c>
      <c r="E10" s="13">
        <f t="shared" si="4"/>
        <v>282386.34586144245</v>
      </c>
      <c r="F10" s="13">
        <f t="shared" si="5"/>
        <v>-7661001.0500540668</v>
      </c>
      <c r="G10" s="14">
        <v>2</v>
      </c>
    </row>
    <row r="11" spans="1:9">
      <c r="A11" s="26">
        <v>40952</v>
      </c>
      <c r="B11" s="3">
        <v>361411.258975</v>
      </c>
      <c r="C11" s="18">
        <f>'Get Rate for Iteration 4'!$B$4</f>
        <v>0.13130313904967181</v>
      </c>
      <c r="D11" s="2">
        <f t="shared" si="3"/>
        <v>1.3199355696255437</v>
      </c>
      <c r="E11" s="13">
        <f t="shared" si="4"/>
        <v>273809.77321304387</v>
      </c>
      <c r="F11" s="13">
        <f t="shared" si="5"/>
        <v>-7387191.276841023</v>
      </c>
      <c r="G11" s="14">
        <v>2.25</v>
      </c>
    </row>
    <row r="12" spans="1:9">
      <c r="A12" s="26">
        <v>41042</v>
      </c>
      <c r="B12" s="3">
        <v>361411.258975</v>
      </c>
      <c r="C12" s="18">
        <f>'Get Rate for Iteration 4'!$B$4</f>
        <v>0.13130313904967181</v>
      </c>
      <c r="D12" s="2">
        <f t="shared" si="3"/>
        <v>1.3612800518595312</v>
      </c>
      <c r="E12" s="13">
        <f t="shared" si="4"/>
        <v>265493.68624134781</v>
      </c>
      <c r="F12" s="13">
        <f t="shared" si="5"/>
        <v>-7121697.5905996747</v>
      </c>
      <c r="G12" s="14">
        <v>2.5</v>
      </c>
    </row>
    <row r="13" spans="1:9">
      <c r="A13" s="26">
        <v>41134</v>
      </c>
      <c r="B13" s="3">
        <v>361411.258975</v>
      </c>
      <c r="C13" s="18">
        <f>'Get Rate for Iteration 4'!$B$4</f>
        <v>0.13130313904967181</v>
      </c>
      <c r="D13" s="2">
        <f t="shared" si="3"/>
        <v>1.4039195717078783</v>
      </c>
      <c r="E13" s="13">
        <f t="shared" si="4"/>
        <v>257430.17353575362</v>
      </c>
      <c r="F13" s="13">
        <f t="shared" si="5"/>
        <v>-6864267.4170639208</v>
      </c>
      <c r="G13" s="14">
        <v>2.75</v>
      </c>
    </row>
    <row r="14" spans="1:9">
      <c r="A14" s="26">
        <v>41226</v>
      </c>
      <c r="B14" s="3">
        <v>361411.258975</v>
      </c>
      <c r="C14" s="18">
        <f>'Get Rate for Iteration 4'!$B$4</f>
        <v>0.13130313904967181</v>
      </c>
      <c r="D14" s="2">
        <f t="shared" si="3"/>
        <v>1.4478946937715187</v>
      </c>
      <c r="E14" s="13">
        <f t="shared" si="4"/>
        <v>249611.56396918985</v>
      </c>
      <c r="F14" s="13">
        <f t="shared" si="5"/>
        <v>-6614655.8530947305</v>
      </c>
      <c r="G14" s="14">
        <v>3</v>
      </c>
    </row>
    <row r="15" spans="1:9">
      <c r="A15" s="26">
        <v>41318</v>
      </c>
      <c r="B15" s="3">
        <v>361411.258975</v>
      </c>
      <c r="C15" s="18">
        <f>'Get Rate for Iteration 4'!$B$4</f>
        <v>0.13130313904967181</v>
      </c>
      <c r="D15" s="2">
        <f t="shared" si="3"/>
        <v>1.493247253260694</v>
      </c>
      <c r="E15" s="13">
        <f t="shared" si="4"/>
        <v>242030.41940027874</v>
      </c>
      <c r="F15" s="13">
        <f t="shared" si="5"/>
        <v>-6372625.433694452</v>
      </c>
      <c r="G15" s="14">
        <v>3.25</v>
      </c>
    </row>
    <row r="16" spans="1:9">
      <c r="A16" s="26">
        <v>41407</v>
      </c>
      <c r="B16" s="3">
        <v>361411.258975</v>
      </c>
      <c r="C16" s="18">
        <f>'Get Rate for Iteration 4'!$B$4</f>
        <v>0.13130313904967181</v>
      </c>
      <c r="D16" s="2">
        <f t="shared" si="3"/>
        <v>1.5400203957943874</v>
      </c>
      <c r="E16" s="13">
        <f t="shared" si="4"/>
        <v>234679.52759714818</v>
      </c>
      <c r="F16" s="13">
        <f t="shared" si="5"/>
        <v>-6137945.9060973041</v>
      </c>
      <c r="G16" s="14">
        <v>3.5</v>
      </c>
    </row>
    <row r="17" spans="1:7">
      <c r="A17" s="26">
        <v>41499</v>
      </c>
      <c r="B17" s="3">
        <v>361411.258975</v>
      </c>
      <c r="C17" s="18">
        <f>'Get Rate for Iteration 4'!$B$4</f>
        <v>0.13130313904967181</v>
      </c>
      <c r="D17" s="2">
        <f t="shared" si="3"/>
        <v>1.5882586184463934</v>
      </c>
      <c r="E17" s="13">
        <f t="shared" si="4"/>
        <v>227551.89537616118</v>
      </c>
      <c r="F17" s="13">
        <f t="shared" si="5"/>
        <v>-5910394.0107211433</v>
      </c>
      <c r="G17" s="14">
        <v>3.75</v>
      </c>
    </row>
    <row r="18" spans="1:7">
      <c r="A18" s="26">
        <v>41591</v>
      </c>
      <c r="B18" s="3">
        <v>361411.258975</v>
      </c>
      <c r="C18" s="18">
        <f>'Get Rate for Iteration 4'!$B$4</f>
        <v>0.13130313904967181</v>
      </c>
      <c r="D18" s="2">
        <f t="shared" si="3"/>
        <v>1.6380078120770822</v>
      </c>
      <c r="E18" s="13">
        <f t="shared" si="4"/>
        <v>220640.74194903322</v>
      </c>
      <c r="F18" s="13">
        <f t="shared" si="5"/>
        <v>-5689753.2687721103</v>
      </c>
      <c r="G18" s="14">
        <v>4</v>
      </c>
    </row>
    <row r="19" spans="1:7">
      <c r="A19" s="26">
        <v>41683</v>
      </c>
      <c r="B19" s="3">
        <v>361411.258975</v>
      </c>
      <c r="C19" s="18">
        <f>'Get Rate for Iteration 4'!$B$4</f>
        <v>0.13130313904967181</v>
      </c>
      <c r="D19" s="2">
        <f t="shared" si="3"/>
        <v>1.6893153049911234</v>
      </c>
      <c r="E19" s="13">
        <f t="shared" si="4"/>
        <v>213939.49247201017</v>
      </c>
      <c r="F19" s="13">
        <f t="shared" si="5"/>
        <v>-5475813.7763001006</v>
      </c>
      <c r="G19" s="14">
        <v>4.25</v>
      </c>
    </row>
    <row r="20" spans="1:7">
      <c r="A20" s="26">
        <v>41772</v>
      </c>
      <c r="B20" s="3">
        <v>361411.258975</v>
      </c>
      <c r="C20" s="18">
        <f>'Get Rate for Iteration 4'!$B$4</f>
        <v>0.13130313904967181</v>
      </c>
      <c r="D20" s="2">
        <f t="shared" si="3"/>
        <v>1.7422299079627084</v>
      </c>
      <c r="E20" s="13">
        <f t="shared" si="4"/>
        <v>207441.77179096837</v>
      </c>
      <c r="F20" s="13">
        <f t="shared" si="5"/>
        <v>-5268372.0045091324</v>
      </c>
      <c r="G20" s="14">
        <v>4.5</v>
      </c>
    </row>
    <row r="21" spans="1:7">
      <c r="A21" s="26">
        <v>41864</v>
      </c>
      <c r="B21" s="3">
        <v>361411.258975</v>
      </c>
      <c r="C21" s="18">
        <f>'Get Rate for Iteration 4'!$B$4</f>
        <v>0.13130313904967181</v>
      </c>
      <c r="D21" s="2">
        <f t="shared" si="3"/>
        <v>1.7968019606710997</v>
      </c>
      <c r="E21" s="13">
        <f t="shared" si="4"/>
        <v>201141.39837648778</v>
      </c>
      <c r="F21" s="13">
        <f t="shared" si="5"/>
        <v>-5067230.6061326442</v>
      </c>
      <c r="G21" s="14">
        <v>4.75</v>
      </c>
    </row>
    <row r="22" spans="1:7">
      <c r="A22" s="26">
        <v>41956</v>
      </c>
      <c r="B22" s="3">
        <v>361411.258975</v>
      </c>
      <c r="C22" s="18">
        <f>'Get Rate for Iteration 4'!$B$4</f>
        <v>0.13130313904967181</v>
      </c>
      <c r="D22" s="2">
        <f t="shared" si="3"/>
        <v>1.8530833795906878</v>
      </c>
      <c r="E22" s="13">
        <f t="shared" si="4"/>
        <v>195032.37844312712</v>
      </c>
      <c r="F22" s="13">
        <f t="shared" si="5"/>
        <v>-4872198.2276895167</v>
      </c>
      <c r="G22" s="14">
        <v>5</v>
      </c>
    </row>
    <row r="23" spans="1:7">
      <c r="A23" s="26">
        <v>42048</v>
      </c>
      <c r="B23" s="3">
        <v>361411.258975</v>
      </c>
      <c r="C23" s="18">
        <f>'Get Rate for Iteration 4'!$B$4</f>
        <v>0.13130313904967181</v>
      </c>
      <c r="D23" s="2">
        <f t="shared" si="3"/>
        <v>1.9111277073811115</v>
      </c>
      <c r="E23" s="13">
        <f t="shared" si="4"/>
        <v>189108.90024730747</v>
      </c>
      <c r="F23" s="13">
        <f t="shared" si="5"/>
        <v>-4683089.3274422092</v>
      </c>
      <c r="G23" s="14">
        <v>5.25</v>
      </c>
    </row>
    <row r="24" spans="1:7">
      <c r="A24" s="26">
        <v>42137</v>
      </c>
      <c r="B24" s="3">
        <v>361411.258975</v>
      </c>
      <c r="C24" s="18">
        <f>'Get Rate for Iteration 4'!$B$4</f>
        <v>0.13130313904967181</v>
      </c>
      <c r="D24" s="2">
        <f t="shared" si="3"/>
        <v>1.9709901638244327</v>
      </c>
      <c r="E24" s="13">
        <f t="shared" si="4"/>
        <v>183365.32855837882</v>
      </c>
      <c r="F24" s="13">
        <f t="shared" si="5"/>
        <v>-4499723.9988838304</v>
      </c>
      <c r="G24" s="14">
        <v>5.5</v>
      </c>
    </row>
    <row r="25" spans="1:7">
      <c r="A25" s="26">
        <v>42229</v>
      </c>
      <c r="B25" s="3">
        <v>361411.258975</v>
      </c>
      <c r="C25" s="18">
        <f>'Get Rate for Iteration 4'!$B$4</f>
        <v>0.13130313904967181</v>
      </c>
      <c r="D25" s="2">
        <f t="shared" si="3"/>
        <v>2.03272769835782</v>
      </c>
      <c r="E25" s="13">
        <f t="shared" si="4"/>
        <v>177796.1992976105</v>
      </c>
      <c r="F25" s="13">
        <f t="shared" si="5"/>
        <v>-4321927.7995862197</v>
      </c>
      <c r="G25" s="14">
        <v>5.75</v>
      </c>
    </row>
    <row r="26" spans="1:7">
      <c r="A26" s="26">
        <v>42321</v>
      </c>
      <c r="B26" s="3">
        <v>361411.258975</v>
      </c>
      <c r="C26" s="18">
        <f>'Get Rate for Iteration 4'!$B$4</f>
        <v>0.13130313904967181</v>
      </c>
      <c r="D26" s="2">
        <f t="shared" si="3"/>
        <v>2.09639904425172</v>
      </c>
      <c r="E26" s="13">
        <f t="shared" si="4"/>
        <v>172396.21434000446</v>
      </c>
      <c r="F26" s="13">
        <f t="shared" si="5"/>
        <v>-4149531.5852462151</v>
      </c>
      <c r="G26" s="14">
        <v>6</v>
      </c>
    </row>
    <row r="27" spans="1:7">
      <c r="A27" s="26">
        <v>42413</v>
      </c>
      <c r="B27" s="3">
        <v>361411.258975</v>
      </c>
      <c r="C27" s="18">
        <f>'Get Rate for Iteration 4'!$B$4</f>
        <v>0.13130313904967181</v>
      </c>
      <c r="D27" s="2">
        <f t="shared" si="3"/>
        <v>2.1620647744850539</v>
      </c>
      <c r="E27" s="13">
        <f t="shared" si="4"/>
        <v>167160.23647398746</v>
      </c>
      <c r="F27" s="13">
        <f t="shared" si="5"/>
        <v>-3982371.3487722278</v>
      </c>
      <c r="G27" s="14">
        <v>6.25</v>
      </c>
    </row>
    <row r="28" spans="1:7">
      <c r="A28" s="26">
        <v>42503</v>
      </c>
      <c r="B28" s="3">
        <v>361411.258975</v>
      </c>
      <c r="C28" s="18">
        <f>'Get Rate for Iteration 4'!$B$4</f>
        <v>0.13130313904967181</v>
      </c>
      <c r="D28" s="2">
        <f t="shared" si="3"/>
        <v>2.2297873593706075</v>
      </c>
      <c r="E28" s="13">
        <f t="shared" si="4"/>
        <v>162083.28451418524</v>
      </c>
      <c r="F28" s="13">
        <f t="shared" si="5"/>
        <v>-3820288.0642580427</v>
      </c>
      <c r="G28" s="14">
        <v>6.5</v>
      </c>
    </row>
    <row r="29" spans="1:7">
      <c r="A29" s="26">
        <v>42595</v>
      </c>
      <c r="B29" s="3">
        <v>361411.258975</v>
      </c>
      <c r="C29" s="18">
        <f>'Get Rate for Iteration 4'!$B$4</f>
        <v>0.13130313904967181</v>
      </c>
      <c r="D29" s="2">
        <f t="shared" si="3"/>
        <v>2.2996312259854159</v>
      </c>
      <c r="E29" s="13">
        <f t="shared" si="4"/>
        <v>157160.5285626314</v>
      </c>
      <c r="F29" s="13">
        <f t="shared" si="5"/>
        <v>-3663127.5356954113</v>
      </c>
      <c r="G29" s="14">
        <v>6.75</v>
      </c>
    </row>
    <row r="30" spans="1:7">
      <c r="A30" s="26">
        <v>42687</v>
      </c>
      <c r="B30" s="3">
        <v>11481757.688975001</v>
      </c>
      <c r="C30" s="18">
        <f>'Get Rate for Iteration 4'!$B$4</f>
        <v>0.13130313904967181</v>
      </c>
      <c r="D30" s="2">
        <f t="shared" si="3"/>
        <v>2.3716628194627023</v>
      </c>
      <c r="E30" s="13">
        <f t="shared" si="4"/>
        <v>4841226.8366108555</v>
      </c>
      <c r="F30" s="13">
        <f t="shared" si="5"/>
        <v>1178099.3009154443</v>
      </c>
      <c r="G30" s="14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00B0F0"/>
  </sheetPr>
  <dimension ref="A1:C8"/>
  <sheetViews>
    <sheetView workbookViewId="0">
      <selection activeCell="B9" sqref="B9"/>
    </sheetView>
  </sheetViews>
  <sheetFormatPr defaultRowHeight="12.75"/>
  <cols>
    <col min="1" max="1" width="8.7109375" customWidth="1"/>
    <col min="2" max="2" width="12.85546875" bestFit="1" customWidth="1"/>
  </cols>
  <sheetData>
    <row r="1" spans="1:3">
      <c r="A1" s="1" t="s">
        <v>8</v>
      </c>
    </row>
    <row r="4" spans="1:3">
      <c r="A4" s="9" t="s">
        <v>11</v>
      </c>
      <c r="B4" s="7">
        <f>B5-B7*(B5-B6)/(B7-B8)</f>
        <v>0.15286219348314076</v>
      </c>
      <c r="C4" s="1" t="s">
        <v>21</v>
      </c>
    </row>
    <row r="5" spans="1:3">
      <c r="A5" s="10" t="s">
        <v>9</v>
      </c>
      <c r="B5" s="1">
        <f>'Iteration 4 '!C2</f>
        <v>0.13130313904967181</v>
      </c>
      <c r="C5" s="1" t="s">
        <v>22</v>
      </c>
    </row>
    <row r="6" spans="1:3">
      <c r="A6" s="10" t="s">
        <v>10</v>
      </c>
      <c r="B6" s="1">
        <f>'Iteration 3 '!C2</f>
        <v>8.7500000000000008E-2</v>
      </c>
      <c r="C6" s="1" t="s">
        <v>23</v>
      </c>
    </row>
    <row r="7" spans="1:3">
      <c r="A7" s="10" t="s">
        <v>12</v>
      </c>
      <c r="B7" s="5">
        <f>'Iteration 4 '!F30</f>
        <v>1178099.3009154443</v>
      </c>
      <c r="C7" s="1" t="s">
        <v>24</v>
      </c>
    </row>
    <row r="8" spans="1:3">
      <c r="A8" s="10" t="s">
        <v>13</v>
      </c>
      <c r="B8" s="5">
        <f>'Iteration 3 '!F30</f>
        <v>3571731.5286910729</v>
      </c>
      <c r="C8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00B0F0"/>
  </sheetPr>
  <dimension ref="A1:H30"/>
  <sheetViews>
    <sheetView workbookViewId="0">
      <selection activeCell="C8" sqref="C8:F30"/>
    </sheetView>
  </sheetViews>
  <sheetFormatPr defaultRowHeight="12.75"/>
  <cols>
    <col min="5" max="5" width="14.5703125" bestFit="1" customWidth="1"/>
    <col min="6" max="6" width="19.7109375" bestFit="1" customWidth="1"/>
    <col min="8" max="8" width="14.5703125" bestFit="1" customWidth="1"/>
  </cols>
  <sheetData>
    <row r="1" spans="1:8">
      <c r="A1" s="14"/>
      <c r="B1" s="14" t="s">
        <v>0</v>
      </c>
      <c r="C1" s="14" t="s">
        <v>4</v>
      </c>
      <c r="D1" s="14" t="s">
        <v>1</v>
      </c>
      <c r="E1" s="14" t="s">
        <v>2</v>
      </c>
      <c r="F1" s="14" t="s">
        <v>3</v>
      </c>
      <c r="G1" s="14" t="s">
        <v>14</v>
      </c>
    </row>
    <row r="2" spans="1:8">
      <c r="A2" s="26">
        <v>40130</v>
      </c>
      <c r="B2" s="3">
        <v>-10183896.199999999</v>
      </c>
      <c r="C2" s="19">
        <f>'Get Rate for Iteration 5'!$B$4</f>
        <v>0.15286219348314076</v>
      </c>
      <c r="D2" s="14">
        <f>(1+C2)^G2</f>
        <v>1</v>
      </c>
      <c r="E2" s="16">
        <f>B2/D2</f>
        <v>-10183896.199999999</v>
      </c>
      <c r="F2" s="16">
        <f>E2</f>
        <v>-10183896.199999999</v>
      </c>
      <c r="G2" s="14">
        <f>1-1</f>
        <v>0</v>
      </c>
    </row>
    <row r="3" spans="1:8">
      <c r="A3" s="26">
        <v>40222</v>
      </c>
      <c r="B3" s="3">
        <v>361411.258975</v>
      </c>
      <c r="C3" s="19">
        <f>'Get Rate for Iteration 5'!$B$4</f>
        <v>0.15286219348314076</v>
      </c>
      <c r="D3" s="14">
        <f t="shared" ref="D3:D8" si="0">(1+C3)^G3</f>
        <v>1.0362018166122688</v>
      </c>
      <c r="E3" s="16">
        <f>B3/D3</f>
        <v>348784.62205035362</v>
      </c>
      <c r="F3" s="16">
        <f>F2+E3</f>
        <v>-9835111.577949645</v>
      </c>
      <c r="G3" s="14">
        <v>0.25</v>
      </c>
      <c r="H3" s="3" t="s">
        <v>5</v>
      </c>
    </row>
    <row r="4" spans="1:8">
      <c r="A4" s="26">
        <v>40311</v>
      </c>
      <c r="B4" s="3">
        <v>361411.258975</v>
      </c>
      <c r="C4" s="19">
        <f>'Get Rate for Iteration 5'!$B$4</f>
        <v>0.15286219348314076</v>
      </c>
      <c r="D4" s="14">
        <f t="shared" si="0"/>
        <v>1.0737142047505661</v>
      </c>
      <c r="E4" s="16">
        <f t="shared" ref="E4:E8" si="1">B4/D4</f>
        <v>336599.12235114671</v>
      </c>
      <c r="F4" s="16">
        <f t="shared" ref="F4:F8" si="2">F3+E4</f>
        <v>-9498512.4555984978</v>
      </c>
      <c r="G4" s="14">
        <v>0.5</v>
      </c>
    </row>
    <row r="5" spans="1:8">
      <c r="A5" s="26">
        <v>40403</v>
      </c>
      <c r="B5" s="3">
        <v>361411.258975</v>
      </c>
      <c r="C5" s="19">
        <f>'Get Rate for Iteration 5'!$B$4</f>
        <v>0.15286219348314076</v>
      </c>
      <c r="D5" s="14">
        <f t="shared" si="0"/>
        <v>1.1125846094849343</v>
      </c>
      <c r="E5" s="16">
        <f t="shared" si="1"/>
        <v>324839.34785176796</v>
      </c>
      <c r="F5" s="16">
        <f t="shared" si="2"/>
        <v>-9173673.1077467296</v>
      </c>
      <c r="G5" s="14">
        <v>0.75</v>
      </c>
    </row>
    <row r="6" spans="1:8">
      <c r="A6" s="26">
        <v>40495</v>
      </c>
      <c r="B6" s="3">
        <v>361411.258975</v>
      </c>
      <c r="C6" s="19">
        <f>'Get Rate for Iteration 5'!$B$4</f>
        <v>0.15286219348314076</v>
      </c>
      <c r="D6" s="14">
        <f t="shared" si="0"/>
        <v>1.1528621934831407</v>
      </c>
      <c r="E6" s="16">
        <f t="shared" si="1"/>
        <v>313490.42497704667</v>
      </c>
      <c r="F6" s="16">
        <f t="shared" si="2"/>
        <v>-8860182.6827696823</v>
      </c>
      <c r="G6" s="14">
        <v>1</v>
      </c>
    </row>
    <row r="7" spans="1:8">
      <c r="A7" s="26">
        <v>40587</v>
      </c>
      <c r="B7" s="3">
        <v>361411.258975</v>
      </c>
      <c r="C7" s="19">
        <f>'Get Rate for Iteration 5'!$B$4</f>
        <v>0.15286219348314076</v>
      </c>
      <c r="D7" s="14">
        <f t="shared" si="0"/>
        <v>1.1945978991908355</v>
      </c>
      <c r="E7" s="16">
        <f t="shared" si="1"/>
        <v>302537.99979039223</v>
      </c>
      <c r="F7" s="16">
        <f t="shared" si="2"/>
        <v>-8557644.6829792894</v>
      </c>
      <c r="G7" s="14">
        <v>1.25</v>
      </c>
    </row>
    <row r="8" spans="1:8">
      <c r="A8" s="26">
        <v>40676</v>
      </c>
      <c r="B8" s="3">
        <v>361411.258975</v>
      </c>
      <c r="C8" s="19">
        <f>'Get Rate for Iteration 5'!$B$4</f>
        <v>0.15286219348314076</v>
      </c>
      <c r="D8" s="14">
        <f t="shared" si="0"/>
        <v>1.2378445132627436</v>
      </c>
      <c r="E8" s="16">
        <f t="shared" si="1"/>
        <v>291968.21983916429</v>
      </c>
      <c r="F8" s="16">
        <f t="shared" si="2"/>
        <v>-8265676.4631401254</v>
      </c>
      <c r="G8" s="14">
        <v>1.5</v>
      </c>
    </row>
    <row r="9" spans="1:8">
      <c r="A9" s="26">
        <v>40768</v>
      </c>
      <c r="B9" s="3">
        <v>361411.258975</v>
      </c>
      <c r="C9" s="19">
        <f>'Get Rate for Iteration 5'!$B$4</f>
        <v>0.15286219348314076</v>
      </c>
      <c r="D9" s="14">
        <f t="shared" ref="D9:D30" si="3">(1+C9)^G9</f>
        <v>1.2826567333263847</v>
      </c>
      <c r="E9" s="16">
        <f t="shared" ref="E9:E30" si="4">B9/D9</f>
        <v>281767.71663431119</v>
      </c>
      <c r="F9" s="16">
        <f t="shared" ref="F9:F30" si="5">F8+E9</f>
        <v>-7983908.7465058146</v>
      </c>
      <c r="G9" s="14">
        <v>1.75</v>
      </c>
    </row>
    <row r="10" spans="1:8">
      <c r="A10" s="26">
        <v>40860</v>
      </c>
      <c r="B10" s="3">
        <v>361411.258975</v>
      </c>
      <c r="C10" s="19">
        <f>'Get Rate for Iteration 5'!$B$4</f>
        <v>0.15286219348314076</v>
      </c>
      <c r="D10" s="14">
        <f t="shared" si="3"/>
        <v>1.3290912371627586</v>
      </c>
      <c r="E10" s="16">
        <f t="shared" si="4"/>
        <v>271923.58874211891</v>
      </c>
      <c r="F10" s="16">
        <f t="shared" si="5"/>
        <v>-7711985.1577636953</v>
      </c>
      <c r="G10" s="14">
        <v>2</v>
      </c>
    </row>
    <row r="11" spans="1:8">
      <c r="A11" s="26">
        <v>40952</v>
      </c>
      <c r="B11" s="3">
        <v>361411.258975</v>
      </c>
      <c r="C11" s="19">
        <f>'Get Rate for Iteration 5'!$B$4</f>
        <v>0.15286219348314076</v>
      </c>
      <c r="D11" s="14">
        <f t="shared" si="3"/>
        <v>1.3772067543914983</v>
      </c>
      <c r="E11" s="16">
        <f t="shared" si="4"/>
        <v>262423.38546668331</v>
      </c>
      <c r="F11" s="16">
        <f t="shared" si="5"/>
        <v>-7449561.7722970117</v>
      </c>
      <c r="G11" s="14">
        <v>2.25</v>
      </c>
    </row>
    <row r="12" spans="1:8">
      <c r="A12" s="26">
        <v>41042</v>
      </c>
      <c r="B12" s="3">
        <v>361411.258975</v>
      </c>
      <c r="C12" s="19">
        <f>'Get Rate for Iteration 5'!$B$4</f>
        <v>0.15286219348314076</v>
      </c>
      <c r="D12" s="14">
        <f t="shared" si="3"/>
        <v>1.4270641407511573</v>
      </c>
      <c r="E12" s="16">
        <f t="shared" si="4"/>
        <v>253255.09110246832</v>
      </c>
      <c r="F12" s="16">
        <f t="shared" si="5"/>
        <v>-7196306.6811945438</v>
      </c>
      <c r="G12" s="14">
        <v>2.5</v>
      </c>
    </row>
    <row r="13" spans="1:8">
      <c r="A13" s="26">
        <v>41134</v>
      </c>
      <c r="B13" s="3">
        <v>361411.258975</v>
      </c>
      <c r="C13" s="19">
        <f>'Get Rate for Iteration 5'!$B$4</f>
        <v>0.15286219348314076</v>
      </c>
      <c r="D13" s="14">
        <f t="shared" si="3"/>
        <v>1.4787264550685757</v>
      </c>
      <c r="E13" s="16">
        <f t="shared" si="4"/>
        <v>244407.10973703355</v>
      </c>
      <c r="F13" s="16">
        <f t="shared" si="5"/>
        <v>-6951899.5714575099</v>
      </c>
      <c r="G13" s="14">
        <v>2.75</v>
      </c>
    </row>
    <row r="14" spans="1:8">
      <c r="A14" s="26">
        <v>41226</v>
      </c>
      <c r="B14" s="3">
        <v>361411.258975</v>
      </c>
      <c r="C14" s="19">
        <f>'Get Rate for Iteration 5'!$B$4</f>
        <v>0.15286219348314076</v>
      </c>
      <c r="D14" s="14">
        <f t="shared" si="3"/>
        <v>1.5322590390146791</v>
      </c>
      <c r="E14" s="16">
        <f t="shared" si="4"/>
        <v>235868.25058470917</v>
      </c>
      <c r="F14" s="16">
        <f t="shared" si="5"/>
        <v>-6716031.3208728004</v>
      </c>
      <c r="G14" s="14">
        <v>3</v>
      </c>
    </row>
    <row r="15" spans="1:8">
      <c r="A15" s="26">
        <v>41318</v>
      </c>
      <c r="B15" s="3">
        <v>361411.258975</v>
      </c>
      <c r="C15" s="19">
        <f>'Get Rate for Iteration 5'!$B$4</f>
        <v>0.15286219348314076</v>
      </c>
      <c r="D15" s="14">
        <f t="shared" si="3"/>
        <v>1.5877295997475795</v>
      </c>
      <c r="E15" s="16">
        <f t="shared" si="4"/>
        <v>227627.71383266893</v>
      </c>
      <c r="F15" s="16">
        <f t="shared" si="5"/>
        <v>-6488403.6070401315</v>
      </c>
      <c r="G15" s="14">
        <v>3.25</v>
      </c>
    </row>
    <row r="16" spans="1:8">
      <c r="A16" s="26">
        <v>41407</v>
      </c>
      <c r="B16" s="3">
        <v>361411.258975</v>
      </c>
      <c r="C16" s="19">
        <f>'Get Rate for Iteration 5'!$B$4</f>
        <v>0.15286219348314076</v>
      </c>
      <c r="D16" s="14">
        <f t="shared" si="3"/>
        <v>1.6452082955475125</v>
      </c>
      <c r="E16" s="16">
        <f t="shared" si="4"/>
        <v>219675.07698149866</v>
      </c>
      <c r="F16" s="16">
        <f t="shared" si="5"/>
        <v>-6268728.5300586326</v>
      </c>
      <c r="G16" s="14">
        <v>3.5</v>
      </c>
    </row>
    <row r="17" spans="1:7">
      <c r="A17" s="26">
        <v>41499</v>
      </c>
      <c r="B17" s="3">
        <v>361411.258975</v>
      </c>
      <c r="C17" s="19">
        <f>'Get Rate for Iteration 5'!$B$4</f>
        <v>0.15286219348314076</v>
      </c>
      <c r="D17" s="14">
        <f t="shared" si="3"/>
        <v>1.7047678245519071</v>
      </c>
      <c r="E17" s="16">
        <f t="shared" si="4"/>
        <v>212000.28166298589</v>
      </c>
      <c r="F17" s="16">
        <f t="shared" si="5"/>
        <v>-6056728.2483956469</v>
      </c>
      <c r="G17" s="14">
        <v>3.75</v>
      </c>
    </row>
    <row r="18" spans="1:7">
      <c r="A18" s="26">
        <v>41591</v>
      </c>
      <c r="B18" s="3">
        <v>361411.258975</v>
      </c>
      <c r="C18" s="19">
        <f>'Get Rate for Iteration 5'!$B$4</f>
        <v>0.15286219348314076</v>
      </c>
      <c r="D18" s="14">
        <f t="shared" si="3"/>
        <v>1.7664835167028321</v>
      </c>
      <c r="E18" s="16">
        <f t="shared" si="4"/>
        <v>204593.62091845585</v>
      </c>
      <c r="F18" s="16">
        <f t="shared" si="5"/>
        <v>-5852134.6274771914</v>
      </c>
      <c r="G18" s="14">
        <v>4</v>
      </c>
    </row>
    <row r="19" spans="1:7">
      <c r="A19" s="26">
        <v>41683</v>
      </c>
      <c r="B19" s="3">
        <v>361411.258975</v>
      </c>
      <c r="C19" s="19">
        <f>'Get Rate for Iteration 5'!$B$4</f>
        <v>0.15286219348314076</v>
      </c>
      <c r="D19" s="14">
        <f t="shared" si="3"/>
        <v>1.8304334290231035</v>
      </c>
      <c r="E19" s="16">
        <f t="shared" si="4"/>
        <v>197445.72692156528</v>
      </c>
      <c r="F19" s="16">
        <f t="shared" si="5"/>
        <v>-5654688.9005556265</v>
      </c>
      <c r="G19" s="14">
        <v>4.25</v>
      </c>
    </row>
    <row r="20" spans="1:7">
      <c r="A20" s="26">
        <v>41772</v>
      </c>
      <c r="B20" s="3">
        <v>361411.258975</v>
      </c>
      <c r="C20" s="19">
        <f>'Get Rate for Iteration 5'!$B$4</f>
        <v>0.15286219348314076</v>
      </c>
      <c r="D20" s="14">
        <f t="shared" si="3"/>
        <v>1.8966984443415644</v>
      </c>
      <c r="E20" s="16">
        <f t="shared" si="4"/>
        <v>190547.55913002463</v>
      </c>
      <c r="F20" s="16">
        <f t="shared" si="5"/>
        <v>-5464141.3414256014</v>
      </c>
      <c r="G20" s="14">
        <v>4.5</v>
      </c>
    </row>
    <row r="21" spans="1:7">
      <c r="A21" s="26">
        <v>41864</v>
      </c>
      <c r="B21" s="3">
        <v>361411.258975</v>
      </c>
      <c r="C21" s="19">
        <f>'Get Rate for Iteration 5'!$B$4</f>
        <v>0.15286219348314076</v>
      </c>
      <c r="D21" s="14">
        <f t="shared" si="3"/>
        <v>1.9653623735923935</v>
      </c>
      <c r="E21" s="16">
        <f t="shared" si="4"/>
        <v>183890.39285126506</v>
      </c>
      <c r="F21" s="16">
        <f t="shared" si="5"/>
        <v>-5280250.9485743362</v>
      </c>
      <c r="G21" s="14">
        <v>4.75</v>
      </c>
    </row>
    <row r="22" spans="1:7">
      <c r="A22" s="26">
        <v>41956</v>
      </c>
      <c r="B22" s="3">
        <v>361411.258975</v>
      </c>
      <c r="C22" s="19">
        <f>'Get Rate for Iteration 5'!$B$4</f>
        <v>0.15286219348314076</v>
      </c>
      <c r="D22" s="14">
        <f t="shared" si="3"/>
        <v>2.0365120618178394</v>
      </c>
      <c r="E22" s="16">
        <f t="shared" si="4"/>
        <v>177465.80820758591</v>
      </c>
      <c r="F22" s="16">
        <f t="shared" si="5"/>
        <v>-5102785.1403667508</v>
      </c>
      <c r="G22" s="14">
        <v>5</v>
      </c>
    </row>
    <row r="23" spans="1:7">
      <c r="A23" s="26">
        <v>42048</v>
      </c>
      <c r="B23" s="3">
        <v>361411.258975</v>
      </c>
      <c r="C23" s="19">
        <f>'Get Rate for Iteration 5'!$B$4</f>
        <v>0.15286219348314076</v>
      </c>
      <c r="D23" s="14">
        <f t="shared" si="3"/>
        <v>2.1102374980084417</v>
      </c>
      <c r="E23" s="16">
        <f t="shared" si="4"/>
        <v>171265.67948682819</v>
      </c>
      <c r="F23" s="16">
        <f t="shared" si="5"/>
        <v>-4931519.4608799228</v>
      </c>
      <c r="G23" s="14">
        <v>5.25</v>
      </c>
    </row>
    <row r="24" spans="1:7">
      <c r="A24" s="26">
        <v>42137</v>
      </c>
      <c r="B24" s="3">
        <v>361411.258975</v>
      </c>
      <c r="C24" s="19">
        <f>'Get Rate for Iteration 5'!$B$4</f>
        <v>0.15286219348314076</v>
      </c>
      <c r="D24" s="14">
        <f t="shared" si="3"/>
        <v>2.1866319289196765</v>
      </c>
      <c r="E24" s="16">
        <f t="shared" si="4"/>
        <v>165282.16486510294</v>
      </c>
      <c r="F24" s="16">
        <f t="shared" si="5"/>
        <v>-4766237.2960148202</v>
      </c>
      <c r="G24" s="14">
        <v>5.5</v>
      </c>
    </row>
    <row r="25" spans="1:7">
      <c r="A25" s="26">
        <v>42229</v>
      </c>
      <c r="B25" s="3">
        <v>361411.258975</v>
      </c>
      <c r="C25" s="19">
        <f>'Get Rate for Iteration 5'!$B$4</f>
        <v>0.15286219348314076</v>
      </c>
      <c r="D25" s="14">
        <f t="shared" si="3"/>
        <v>2.2657919770089587</v>
      </c>
      <c r="E25" s="16">
        <f t="shared" si="4"/>
        <v>159507.69648857796</v>
      </c>
      <c r="F25" s="16">
        <f t="shared" si="5"/>
        <v>-4606729.5995262424</v>
      </c>
      <c r="G25" s="14">
        <v>5.75</v>
      </c>
    </row>
    <row r="26" spans="1:7">
      <c r="A26" s="26">
        <v>42321</v>
      </c>
      <c r="B26" s="3">
        <v>361411.258975</v>
      </c>
      <c r="C26" s="19">
        <f>'Get Rate for Iteration 5'!$B$4</f>
        <v>0.15286219348314076</v>
      </c>
      <c r="D26" s="14">
        <f t="shared" si="3"/>
        <v>2.3478177626421877</v>
      </c>
      <c r="E26" s="16">
        <f t="shared" si="4"/>
        <v>153934.97090177686</v>
      </c>
      <c r="F26" s="16">
        <f t="shared" si="5"/>
        <v>-4452794.6286244653</v>
      </c>
      <c r="G26" s="14">
        <v>6</v>
      </c>
    </row>
    <row r="27" spans="1:7">
      <c r="A27" s="26">
        <v>42413</v>
      </c>
      <c r="B27" s="3">
        <v>361411.258975</v>
      </c>
      <c r="C27" s="19">
        <f>'Get Rate for Iteration 5'!$B$4</f>
        <v>0.15286219348314076</v>
      </c>
      <c r="D27" s="14">
        <f t="shared" si="3"/>
        <v>2.4328130307243869</v>
      </c>
      <c r="E27" s="16">
        <f t="shared" si="4"/>
        <v>148556.93981028508</v>
      </c>
      <c r="F27" s="16">
        <f t="shared" si="5"/>
        <v>-4304237.68881418</v>
      </c>
      <c r="G27" s="14">
        <v>6.25</v>
      </c>
    </row>
    <row r="28" spans="1:7">
      <c r="A28" s="26">
        <v>42503</v>
      </c>
      <c r="B28" s="3">
        <v>361411.258975</v>
      </c>
      <c r="C28" s="19">
        <f>'Get Rate for Iteration 5'!$B$4</f>
        <v>0.15286219348314076</v>
      </c>
      <c r="D28" s="14">
        <f t="shared" si="3"/>
        <v>2.5208852819146093</v>
      </c>
      <c r="E28" s="16">
        <f t="shared" si="4"/>
        <v>143366.80116617944</v>
      </c>
      <c r="F28" s="16">
        <f t="shared" si="5"/>
        <v>-4160870.8876480004</v>
      </c>
      <c r="G28" s="14">
        <v>6.5</v>
      </c>
    </row>
    <row r="29" spans="1:7">
      <c r="A29" s="26">
        <v>42595</v>
      </c>
      <c r="B29" s="3">
        <v>361411.258975</v>
      </c>
      <c r="C29" s="19">
        <f>'Get Rate for Iteration 5'!$B$4</f>
        <v>0.15286219348314076</v>
      </c>
      <c r="D29" s="14">
        <f t="shared" si="3"/>
        <v>2.6121459085910499</v>
      </c>
      <c r="E29" s="16">
        <f t="shared" si="4"/>
        <v>138357.99056490665</v>
      </c>
      <c r="F29" s="16">
        <f t="shared" si="5"/>
        <v>-4022512.8970830939</v>
      </c>
      <c r="G29" s="14">
        <v>6.75</v>
      </c>
    </row>
    <row r="30" spans="1:7">
      <c r="A30" s="26">
        <v>42687</v>
      </c>
      <c r="B30" s="3">
        <v>11481757.688975001</v>
      </c>
      <c r="C30" s="19">
        <f>'Get Rate for Iteration 5'!$B$4</f>
        <v>0.15286219348314076</v>
      </c>
      <c r="D30" s="14">
        <f t="shared" si="3"/>
        <v>2.7067103357383524</v>
      </c>
      <c r="E30" s="16">
        <f t="shared" si="4"/>
        <v>4241960.2634882387</v>
      </c>
      <c r="F30" s="16">
        <f t="shared" si="5"/>
        <v>219447.3664051448</v>
      </c>
      <c r="G30" s="14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0B0F0"/>
  </sheetPr>
  <dimension ref="A1:C8"/>
  <sheetViews>
    <sheetView workbookViewId="0">
      <selection activeCell="B9" sqref="B9"/>
    </sheetView>
  </sheetViews>
  <sheetFormatPr defaultRowHeight="12.75"/>
  <cols>
    <col min="2" max="2" width="12.85546875" bestFit="1" customWidth="1"/>
  </cols>
  <sheetData>
    <row r="1" spans="1:3">
      <c r="A1" s="1" t="s">
        <v>8</v>
      </c>
      <c r="B1" s="1"/>
    </row>
    <row r="2" spans="1:3">
      <c r="A2" s="1"/>
      <c r="B2" s="1"/>
    </row>
    <row r="3" spans="1:3">
      <c r="A3" s="1"/>
      <c r="B3" s="1"/>
    </row>
    <row r="4" spans="1:3">
      <c r="A4" s="9" t="s">
        <v>11</v>
      </c>
      <c r="B4" s="7">
        <f>B5-B7*(B5-B6)/(B7-B8)</f>
        <v>0.15779732952918302</v>
      </c>
      <c r="C4" s="1" t="s">
        <v>21</v>
      </c>
    </row>
    <row r="5" spans="1:3">
      <c r="A5" s="10" t="s">
        <v>9</v>
      </c>
      <c r="B5" s="1">
        <f>'Iteration 5 '!C2</f>
        <v>0.15286219348314076</v>
      </c>
      <c r="C5" s="1" t="s">
        <v>27</v>
      </c>
    </row>
    <row r="6" spans="1:3">
      <c r="A6" s="10" t="s">
        <v>10</v>
      </c>
      <c r="B6" s="1">
        <f>'Iteration 4 '!C2</f>
        <v>0.13130313904967181</v>
      </c>
      <c r="C6" s="1" t="s">
        <v>28</v>
      </c>
    </row>
    <row r="7" spans="1:3">
      <c r="A7" s="10" t="s">
        <v>12</v>
      </c>
      <c r="B7" s="5">
        <f>'Iteration 5 '!F30</f>
        <v>219447.3664051448</v>
      </c>
      <c r="C7" s="1" t="s">
        <v>26</v>
      </c>
    </row>
    <row r="8" spans="1:3">
      <c r="A8" s="10" t="s">
        <v>13</v>
      </c>
      <c r="B8" s="5">
        <f>'Iteration 4 '!F30</f>
        <v>1178099.3009154443</v>
      </c>
      <c r="C8" s="1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I30"/>
  <sheetViews>
    <sheetView workbookViewId="0">
      <selection activeCell="C8" sqref="C8:F30"/>
    </sheetView>
  </sheetViews>
  <sheetFormatPr defaultRowHeight="12.75"/>
  <cols>
    <col min="5" max="5" width="14.5703125" bestFit="1" customWidth="1"/>
    <col min="6" max="6" width="18.7109375" bestFit="1" customWidth="1"/>
    <col min="7" max="7" width="16" bestFit="1" customWidth="1"/>
  </cols>
  <sheetData>
    <row r="1" spans="1:7">
      <c r="A1" s="14"/>
      <c r="B1" s="14" t="s">
        <v>0</v>
      </c>
      <c r="C1" s="14" t="s">
        <v>4</v>
      </c>
      <c r="D1" s="14" t="s">
        <v>1</v>
      </c>
      <c r="E1" s="14" t="s">
        <v>2</v>
      </c>
      <c r="F1" s="14" t="s">
        <v>3</v>
      </c>
      <c r="G1" s="14" t="s">
        <v>7</v>
      </c>
    </row>
    <row r="2" spans="1:7">
      <c r="A2" s="26">
        <v>40130</v>
      </c>
      <c r="B2" s="3">
        <v>-10183896.199999999</v>
      </c>
      <c r="C2" s="14">
        <f>'Get Rate for Iteration 6'!$B$4</f>
        <v>0.15779732952918302</v>
      </c>
      <c r="D2" s="14">
        <f>(1+C2)^G2</f>
        <v>1</v>
      </c>
      <c r="E2" s="16">
        <f>B2/D2</f>
        <v>-10183896.199999999</v>
      </c>
      <c r="F2" s="16">
        <f>E2</f>
        <v>-10183896.199999999</v>
      </c>
      <c r="G2" s="14">
        <f>1-1</f>
        <v>0</v>
      </c>
    </row>
    <row r="3" spans="1:7">
      <c r="A3" s="26">
        <v>40222</v>
      </c>
      <c r="B3" s="3">
        <v>361411.258975</v>
      </c>
      <c r="C3" s="14">
        <f>'Get Rate for Iteration 6'!$B$4</f>
        <v>0.15779732952918302</v>
      </c>
      <c r="D3" s="14">
        <f t="shared" ref="D3:D8" si="0">(1+C3)^G3</f>
        <v>1.0373089758821172</v>
      </c>
      <c r="E3" s="16">
        <f>B3/D3</f>
        <v>348412.35097542609</v>
      </c>
      <c r="F3" s="16">
        <f>F2+E3</f>
        <v>-9835483.8490245733</v>
      </c>
      <c r="G3" s="14">
        <v>0.25</v>
      </c>
    </row>
    <row r="4" spans="1:7">
      <c r="A4" s="26">
        <v>40311</v>
      </c>
      <c r="B4" s="3">
        <v>361411.258975</v>
      </c>
      <c r="C4" s="14">
        <f>'Get Rate for Iteration 6'!$B$4</f>
        <v>0.15779732952918302</v>
      </c>
      <c r="D4" s="14">
        <f t="shared" si="0"/>
        <v>1.076009911445607</v>
      </c>
      <c r="E4" s="16">
        <f t="shared" ref="E4:E8" si="1">B4/D4</f>
        <v>335880.97575183871</v>
      </c>
      <c r="F4" s="16">
        <f t="shared" ref="F4:F8" si="2">F3+E4</f>
        <v>-9499602.8732727338</v>
      </c>
      <c r="G4" s="14">
        <v>0.5</v>
      </c>
    </row>
    <row r="5" spans="1:7">
      <c r="A5" s="26">
        <v>40403</v>
      </c>
      <c r="B5" s="3">
        <v>361411.258975</v>
      </c>
      <c r="C5" s="14">
        <f>'Get Rate for Iteration 6'!$B$4</f>
        <v>0.15779732952918302</v>
      </c>
      <c r="D5" s="14">
        <f t="shared" si="0"/>
        <v>1.1161547392806503</v>
      </c>
      <c r="E5" s="16">
        <f t="shared" si="1"/>
        <v>323800.31751504785</v>
      </c>
      <c r="F5" s="16">
        <f t="shared" si="2"/>
        <v>-9175802.5557576865</v>
      </c>
      <c r="G5" s="14">
        <v>0.75</v>
      </c>
    </row>
    <row r="6" spans="1:7">
      <c r="A6" s="26">
        <v>40495</v>
      </c>
      <c r="B6" s="3">
        <v>361411.258975</v>
      </c>
      <c r="C6" s="14">
        <f>'Get Rate for Iteration 6'!$B$4</f>
        <v>0.15779732952918302</v>
      </c>
      <c r="D6" s="14">
        <f t="shared" si="0"/>
        <v>1.157797329529183</v>
      </c>
      <c r="E6" s="16">
        <f t="shared" si="1"/>
        <v>312154.16529071413</v>
      </c>
      <c r="F6" s="16">
        <f t="shared" si="2"/>
        <v>-8863648.3904669732</v>
      </c>
      <c r="G6" s="14">
        <v>1</v>
      </c>
    </row>
    <row r="7" spans="1:7">
      <c r="A7" s="26">
        <v>40587</v>
      </c>
      <c r="B7" s="3">
        <v>361411.258975</v>
      </c>
      <c r="C7" s="14">
        <f>'Get Rate for Iteration 6'!$B$4</f>
        <v>0.15779732952918302</v>
      </c>
      <c r="D7" s="14">
        <f t="shared" si="0"/>
        <v>1.200993562172967</v>
      </c>
      <c r="E7" s="16">
        <f t="shared" si="1"/>
        <v>300926.89116592414</v>
      </c>
      <c r="F7" s="16">
        <f t="shared" si="2"/>
        <v>-8562721.4993010499</v>
      </c>
      <c r="G7" s="14">
        <v>1.25</v>
      </c>
    </row>
    <row r="8" spans="1:7">
      <c r="A8" s="26">
        <v>40676</v>
      </c>
      <c r="B8" s="3">
        <v>361411.258975</v>
      </c>
      <c r="C8" s="14">
        <f>'Get Rate for Iteration 6'!$B$4</f>
        <v>0.15779732952918302</v>
      </c>
      <c r="D8" s="14">
        <f t="shared" si="0"/>
        <v>1.2458014020186565</v>
      </c>
      <c r="E8" s="16">
        <f t="shared" si="1"/>
        <v>290103.42931817286</v>
      </c>
      <c r="F8" s="16">
        <f t="shared" si="2"/>
        <v>-8272618.069982877</v>
      </c>
      <c r="G8" s="14">
        <v>1.5</v>
      </c>
    </row>
    <row r="9" spans="1:7">
      <c r="A9" s="26">
        <v>40768</v>
      </c>
      <c r="B9" s="3">
        <v>361411.258975</v>
      </c>
      <c r="C9" s="14">
        <f>'Get Rate for Iteration 6'!$B$4</f>
        <v>0.15779732952918302</v>
      </c>
      <c r="D9" s="14">
        <f t="shared" ref="D9:D30" si="3">(1+C9)^G9</f>
        <v>1.2922809764804783</v>
      </c>
      <c r="E9" s="16">
        <f t="shared" ref="E9:E30" si="4">B9/D9</f>
        <v>279669.25579861278</v>
      </c>
      <c r="F9" s="16">
        <f t="shared" ref="F9:F30" si="5">F8+E9</f>
        <v>-7992948.8141842643</v>
      </c>
      <c r="G9" s="14">
        <v>1.75</v>
      </c>
    </row>
    <row r="10" spans="1:7">
      <c r="A10" s="26">
        <v>40860</v>
      </c>
      <c r="B10" s="3">
        <v>361411.258975</v>
      </c>
      <c r="C10" s="14">
        <f>'Get Rate for Iteration 6'!$B$4</f>
        <v>0.15779732952918302</v>
      </c>
      <c r="D10" s="14">
        <f t="shared" si="3"/>
        <v>1.3404946562649076</v>
      </c>
      <c r="E10" s="16">
        <f t="shared" si="4"/>
        <v>269610.36904243962</v>
      </c>
      <c r="F10" s="16">
        <f t="shared" si="5"/>
        <v>-7723338.4451418249</v>
      </c>
      <c r="G10" s="14">
        <v>2</v>
      </c>
    </row>
    <row r="11" spans="1:7">
      <c r="A11" s="26">
        <v>40952</v>
      </c>
      <c r="B11" s="3">
        <v>361411.258975</v>
      </c>
      <c r="C11" s="14">
        <f>'Get Rate for Iteration 6'!$B$4</f>
        <v>0.15779732952918302</v>
      </c>
      <c r="D11" s="14">
        <f t="shared" si="3"/>
        <v>1.3905071390656021</v>
      </c>
      <c r="E11" s="16">
        <f t="shared" si="4"/>
        <v>259913.27108026386</v>
      </c>
      <c r="F11" s="16">
        <f t="shared" si="5"/>
        <v>-7463425.174061561</v>
      </c>
      <c r="G11" s="14">
        <v>2.25</v>
      </c>
    </row>
    <row r="12" spans="1:7">
      <c r="A12" s="26">
        <v>41042</v>
      </c>
      <c r="B12" s="3">
        <v>361411.258975</v>
      </c>
      <c r="C12" s="14">
        <f>'Get Rate for Iteration 6'!$B$4</f>
        <v>0.15779732952918302</v>
      </c>
      <c r="D12" s="14">
        <f t="shared" si="3"/>
        <v>1.4423855363809126</v>
      </c>
      <c r="E12" s="16">
        <f t="shared" si="4"/>
        <v>250564.94942525314</v>
      </c>
      <c r="F12" s="16">
        <f t="shared" si="5"/>
        <v>-7212860.2246363079</v>
      </c>
      <c r="G12" s="14">
        <v>2.5</v>
      </c>
    </row>
    <row r="13" spans="1:7">
      <c r="A13" s="26">
        <v>41134</v>
      </c>
      <c r="B13" s="3">
        <v>361411.258975</v>
      </c>
      <c r="C13" s="14">
        <f>'Get Rate for Iteration 6'!$B$4</f>
        <v>0.15779732952918302</v>
      </c>
      <c r="D13" s="14">
        <f t="shared" si="3"/>
        <v>1.4961994635704627</v>
      </c>
      <c r="E13" s="16">
        <f t="shared" si="4"/>
        <v>241552.85961174223</v>
      </c>
      <c r="F13" s="16">
        <f t="shared" si="5"/>
        <v>-6971307.3650245657</v>
      </c>
      <c r="G13" s="14">
        <v>2.75</v>
      </c>
    </row>
    <row r="14" spans="1:7">
      <c r="A14" s="26">
        <v>41226</v>
      </c>
      <c r="B14" s="3">
        <v>361411.258975</v>
      </c>
      <c r="C14" s="14">
        <f>'Get Rate for Iteration 6'!$B$4</f>
        <v>0.15779732952918302</v>
      </c>
      <c r="D14" s="14">
        <f t="shared" si="3"/>
        <v>1.5520211332716503</v>
      </c>
      <c r="E14" s="16">
        <f t="shared" si="4"/>
        <v>232864.90836187743</v>
      </c>
      <c r="F14" s="16">
        <f t="shared" si="5"/>
        <v>-6738442.4566626884</v>
      </c>
      <c r="G14" s="14">
        <v>3</v>
      </c>
    </row>
    <row r="15" spans="1:7">
      <c r="A15" s="26">
        <v>41318</v>
      </c>
      <c r="B15" s="3">
        <v>361411.258975</v>
      </c>
      <c r="C15" s="14">
        <f>'Get Rate for Iteration 6'!$B$4</f>
        <v>0.15779732952918302</v>
      </c>
      <c r="D15" s="14">
        <f t="shared" si="3"/>
        <v>1.6099254523014186</v>
      </c>
      <c r="E15" s="16">
        <f t="shared" si="4"/>
        <v>224489.43735770861</v>
      </c>
      <c r="F15" s="16">
        <f t="shared" si="5"/>
        <v>-6513953.0193049796</v>
      </c>
      <c r="G15" s="14">
        <v>3.25</v>
      </c>
    </row>
    <row r="16" spans="1:7">
      <c r="A16" s="26">
        <v>41407</v>
      </c>
      <c r="B16" s="3">
        <v>361411.258975</v>
      </c>
      <c r="C16" s="14">
        <f>'Get Rate for Iteration 6'!$B$4</f>
        <v>0.15779732952918302</v>
      </c>
      <c r="D16" s="14">
        <f t="shared" si="3"/>
        <v>1.6699901221733386</v>
      </c>
      <c r="E16" s="16">
        <f t="shared" si="4"/>
        <v>216415.20759695061</v>
      </c>
      <c r="F16" s="16">
        <f t="shared" si="5"/>
        <v>-6297537.8117080294</v>
      </c>
      <c r="G16" s="14">
        <v>3.5</v>
      </c>
    </row>
    <row r="17" spans="1:9">
      <c r="A17" s="26">
        <v>41499</v>
      </c>
      <c r="B17" s="3">
        <v>361411.258975</v>
      </c>
      <c r="C17" s="14">
        <f>'Get Rate for Iteration 6'!$B$4</f>
        <v>0.15779732952918302</v>
      </c>
      <c r="D17" s="14">
        <f t="shared" si="3"/>
        <v>1.732295743364878</v>
      </c>
      <c r="E17" s="16">
        <f t="shared" si="4"/>
        <v>208631.38431142297</v>
      </c>
      <c r="F17" s="16">
        <f t="shared" si="5"/>
        <v>-6088906.4273966067</v>
      </c>
      <c r="G17" s="14">
        <v>3.75</v>
      </c>
    </row>
    <row r="18" spans="1:9">
      <c r="A18" s="26">
        <v>41591</v>
      </c>
      <c r="B18" s="3">
        <v>361411.258975</v>
      </c>
      <c r="C18" s="14">
        <f>'Get Rate for Iteration 6'!$B$4</f>
        <v>0.15779732952918302</v>
      </c>
      <c r="D18" s="14">
        <f t="shared" si="3"/>
        <v>1.7969259234747728</v>
      </c>
      <c r="E18" s="16">
        <f t="shared" si="4"/>
        <v>201127.52242792933</v>
      </c>
      <c r="F18" s="16">
        <f t="shared" si="5"/>
        <v>-5887778.9049686771</v>
      </c>
      <c r="G18" s="14">
        <v>4</v>
      </c>
    </row>
    <row r="19" spans="1:9">
      <c r="A19" s="26">
        <v>41683</v>
      </c>
      <c r="B19" s="3">
        <v>361411.258975</v>
      </c>
      <c r="C19" s="14">
        <f>'Get Rate for Iteration 6'!$B$4</f>
        <v>0.15779732952918302</v>
      </c>
      <c r="D19" s="14">
        <f t="shared" si="3"/>
        <v>1.8639673894156443</v>
      </c>
      <c r="E19" s="16">
        <f t="shared" si="4"/>
        <v>193893.55255206628</v>
      </c>
      <c r="F19" s="16">
        <f t="shared" si="5"/>
        <v>-5693885.3524166103</v>
      </c>
      <c r="G19" s="14">
        <v>4.25</v>
      </c>
    </row>
    <row r="20" spans="1:9">
      <c r="A20" s="26">
        <v>41772</v>
      </c>
      <c r="B20" s="3">
        <v>361411.258975</v>
      </c>
      <c r="C20" s="14">
        <f>'Get Rate for Iteration 6'!$B$4</f>
        <v>0.15779732952918302</v>
      </c>
      <c r="D20" s="14">
        <f t="shared" si="3"/>
        <v>1.9335101037924058</v>
      </c>
      <c r="E20" s="16">
        <f t="shared" si="4"/>
        <v>186919.76745615364</v>
      </c>
      <c r="F20" s="16">
        <f t="shared" si="5"/>
        <v>-5506965.5849604569</v>
      </c>
      <c r="G20" s="14">
        <v>4.5</v>
      </c>
    </row>
    <row r="21" spans="1:9">
      <c r="A21" s="26">
        <v>41864</v>
      </c>
      <c r="B21" s="3">
        <v>361411.258975</v>
      </c>
      <c r="C21" s="14">
        <f>'Get Rate for Iteration 6'!$B$4</f>
        <v>0.15779732952918302</v>
      </c>
      <c r="D21" s="14">
        <f t="shared" si="3"/>
        <v>2.0056473856226269</v>
      </c>
      <c r="E21" s="16">
        <f t="shared" si="4"/>
        <v>180196.80905315498</v>
      </c>
      <c r="F21" s="16">
        <f t="shared" si="5"/>
        <v>-5326768.7759073023</v>
      </c>
      <c r="G21" s="14">
        <v>4.75</v>
      </c>
    </row>
    <row r="22" spans="1:9">
      <c r="A22" s="26">
        <v>41956</v>
      </c>
      <c r="B22" s="3">
        <v>361411.258975</v>
      </c>
      <c r="C22" s="14">
        <f>'Get Rate for Iteration 6'!$B$4</f>
        <v>0.15779732952918302</v>
      </c>
      <c r="D22" s="14">
        <f t="shared" si="3"/>
        <v>2.0804760355608529</v>
      </c>
      <c r="E22" s="16">
        <f t="shared" si="4"/>
        <v>173715.65583910755</v>
      </c>
      <c r="F22" s="16">
        <f t="shared" si="5"/>
        <v>-5153053.1200681943</v>
      </c>
      <c r="G22" s="14">
        <v>5</v>
      </c>
    </row>
    <row r="23" spans="1:9">
      <c r="A23" s="26">
        <v>42048</v>
      </c>
      <c r="B23" s="3">
        <v>361411.258975</v>
      </c>
      <c r="C23" s="14">
        <f>'Get Rate for Iteration 6'!$B$4</f>
        <v>0.15779732952918302</v>
      </c>
      <c r="D23" s="14">
        <f t="shared" si="3"/>
        <v>2.158096465794916</v>
      </c>
      <c r="E23" s="16">
        <f t="shared" si="4"/>
        <v>167467.61078721166</v>
      </c>
      <c r="F23" s="16">
        <f t="shared" si="5"/>
        <v>-4985585.5092809824</v>
      </c>
      <c r="G23" s="14">
        <v>5.25</v>
      </c>
    </row>
    <row r="24" spans="1:9">
      <c r="A24" s="26">
        <v>42137</v>
      </c>
      <c r="B24" s="3">
        <v>361411.258975</v>
      </c>
      <c r="C24" s="14">
        <f>'Get Rate for Iteration 6'!$B$4</f>
        <v>0.15779732952918302</v>
      </c>
      <c r="D24" s="14">
        <f t="shared" si="3"/>
        <v>2.2386128347885408</v>
      </c>
      <c r="E24" s="16">
        <f t="shared" si="4"/>
        <v>161444.28967733445</v>
      </c>
      <c r="F24" s="16">
        <f t="shared" si="5"/>
        <v>-4824141.2196036484</v>
      </c>
      <c r="G24" s="14">
        <v>5.5</v>
      </c>
    </row>
    <row r="25" spans="1:9">
      <c r="A25" s="26">
        <v>42229</v>
      </c>
      <c r="B25" s="3">
        <v>361411.258975</v>
      </c>
      <c r="C25" s="14">
        <f>'Get Rate for Iteration 6'!$B$4</f>
        <v>0.15779732952918302</v>
      </c>
      <c r="D25" s="14">
        <f t="shared" si="3"/>
        <v>2.3221331870510649</v>
      </c>
      <c r="E25" s="16">
        <f t="shared" si="4"/>
        <v>155637.60984526697</v>
      </c>
      <c r="F25" s="16">
        <f t="shared" si="5"/>
        <v>-4668503.6097583817</v>
      </c>
      <c r="G25" s="14">
        <v>5.75</v>
      </c>
      <c r="I25" s="1" t="s">
        <v>5</v>
      </c>
    </row>
    <row r="26" spans="1:9">
      <c r="A26" s="26">
        <v>42321</v>
      </c>
      <c r="B26" s="3">
        <v>361411.258975</v>
      </c>
      <c r="C26" s="14">
        <f>'Get Rate for Iteration 6'!$B$4</f>
        <v>0.15779732952918302</v>
      </c>
      <c r="D26" s="14">
        <f t="shared" si="3"/>
        <v>2.4087695981218173</v>
      </c>
      <c r="E26" s="16">
        <f t="shared" si="4"/>
        <v>150039.77933663814</v>
      </c>
      <c r="F26" s="16">
        <f t="shared" si="5"/>
        <v>-4518463.8304217439</v>
      </c>
      <c r="G26" s="14">
        <v>6</v>
      </c>
    </row>
    <row r="27" spans="1:9">
      <c r="A27" s="26">
        <v>42413</v>
      </c>
      <c r="B27" s="3">
        <v>361411.258975</v>
      </c>
      <c r="C27" s="14">
        <f>'Get Rate for Iteration 6'!$B$4</f>
        <v>0.15779732952918302</v>
      </c>
      <c r="D27" s="14">
        <f t="shared" si="3"/>
        <v>2.4986383249637214</v>
      </c>
      <c r="E27" s="16">
        <f t="shared" si="4"/>
        <v>144643.2864509302</v>
      </c>
      <c r="F27" s="16">
        <f t="shared" si="5"/>
        <v>-4373820.543970814</v>
      </c>
      <c r="G27" s="14">
        <v>6.25</v>
      </c>
    </row>
    <row r="28" spans="1:9">
      <c r="A28" s="26">
        <v>42503</v>
      </c>
      <c r="B28" s="3">
        <v>361411.258975</v>
      </c>
      <c r="C28" s="14">
        <f>'Get Rate for Iteration 6'!$B$4</f>
        <v>0.15779732952918302</v>
      </c>
      <c r="D28" s="14">
        <f t="shared" si="3"/>
        <v>2.591859961967927</v>
      </c>
      <c r="E28" s="16">
        <f t="shared" si="4"/>
        <v>139440.88966156586</v>
      </c>
      <c r="F28" s="16">
        <f t="shared" si="5"/>
        <v>-4234379.6543092486</v>
      </c>
      <c r="G28" s="14">
        <v>6.5</v>
      </c>
    </row>
    <row r="29" spans="1:9">
      <c r="A29" s="26">
        <v>42595</v>
      </c>
      <c r="B29" s="3">
        <v>361411.258975</v>
      </c>
      <c r="C29" s="14">
        <f>'Get Rate for Iteration 6'!$B$4</f>
        <v>0.15779732952918302</v>
      </c>
      <c r="D29" s="14">
        <f t="shared" si="3"/>
        <v>2.6885596027788137</v>
      </c>
      <c r="E29" s="16">
        <f t="shared" si="4"/>
        <v>134425.60789854027</v>
      </c>
      <c r="F29" s="16">
        <f t="shared" si="5"/>
        <v>-4099954.0464107082</v>
      </c>
      <c r="G29" s="14">
        <v>6.75</v>
      </c>
    </row>
    <row r="30" spans="1:9">
      <c r="A30" s="26">
        <v>42687</v>
      </c>
      <c r="B30" s="3">
        <v>11481757.688975001</v>
      </c>
      <c r="C30" s="14">
        <f>'Get Rate for Iteration 6'!$B$4</f>
        <v>0.15779732952918302</v>
      </c>
      <c r="D30" s="14">
        <f t="shared" si="3"/>
        <v>2.7888670081565237</v>
      </c>
      <c r="E30" s="16">
        <f t="shared" si="4"/>
        <v>4116997.2090438935</v>
      </c>
      <c r="F30" s="16">
        <f t="shared" si="5"/>
        <v>17043.162633185275</v>
      </c>
      <c r="G30" s="14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B0F0"/>
  </sheetPr>
  <dimension ref="A1:C8"/>
  <sheetViews>
    <sheetView workbookViewId="0">
      <selection activeCell="B9" sqref="B9"/>
    </sheetView>
  </sheetViews>
  <sheetFormatPr defaultRowHeight="12.75"/>
  <cols>
    <col min="2" max="2" width="18" bestFit="1" customWidth="1"/>
  </cols>
  <sheetData>
    <row r="1" spans="1:3">
      <c r="A1" s="1" t="s">
        <v>8</v>
      </c>
      <c r="B1" s="1"/>
    </row>
    <row r="2" spans="1:3">
      <c r="A2" s="1"/>
      <c r="B2" s="1"/>
    </row>
    <row r="3" spans="1:3">
      <c r="A3" s="1"/>
      <c r="B3" s="1"/>
    </row>
    <row r="4" spans="1:3">
      <c r="A4" s="9" t="s">
        <v>11</v>
      </c>
      <c r="B4" s="12">
        <f>B5-B7*(B5-B6)/(B7-B8)</f>
        <v>0.15821288575124823</v>
      </c>
      <c r="C4" s="1" t="s">
        <v>21</v>
      </c>
    </row>
    <row r="5" spans="1:3">
      <c r="A5" s="10" t="s">
        <v>9</v>
      </c>
      <c r="B5" s="1">
        <f>'Iteration 6'!C2</f>
        <v>0.15779732952918302</v>
      </c>
      <c r="C5" s="1" t="s">
        <v>29</v>
      </c>
    </row>
    <row r="6" spans="1:3">
      <c r="A6" s="10" t="s">
        <v>10</v>
      </c>
      <c r="B6" s="1">
        <f>'Iteration 5 '!C2</f>
        <v>0.15286219348314076</v>
      </c>
      <c r="C6" s="1" t="s">
        <v>27</v>
      </c>
    </row>
    <row r="7" spans="1:3">
      <c r="A7" s="10" t="s">
        <v>12</v>
      </c>
      <c r="B7" s="5">
        <f>'Iteration 6'!F30</f>
        <v>17043.162633185275</v>
      </c>
      <c r="C7" s="1" t="s">
        <v>30</v>
      </c>
    </row>
    <row r="8" spans="1:3">
      <c r="A8" s="10" t="s">
        <v>13</v>
      </c>
      <c r="B8" s="5">
        <f>'Iteration 5 '!F30</f>
        <v>219447.3664051448</v>
      </c>
      <c r="C8" s="1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00B0F0"/>
  </sheetPr>
  <dimension ref="A1:H30"/>
  <sheetViews>
    <sheetView workbookViewId="0">
      <selection activeCell="C8" sqref="C8:F30"/>
    </sheetView>
  </sheetViews>
  <sheetFormatPr defaultRowHeight="12.75"/>
  <cols>
    <col min="2" max="2" width="13.42578125" bestFit="1" customWidth="1"/>
    <col min="3" max="3" width="13.42578125" style="1" customWidth="1"/>
    <col min="4" max="4" width="13.140625" bestFit="1" customWidth="1"/>
    <col min="5" max="5" width="14.5703125" bestFit="1" customWidth="1"/>
    <col min="6" max="6" width="15.5703125" bestFit="1" customWidth="1"/>
    <col min="8" max="8" width="14.5703125" bestFit="1" customWidth="1"/>
  </cols>
  <sheetData>
    <row r="1" spans="1:8">
      <c r="A1" s="14"/>
      <c r="B1" s="14" t="s">
        <v>0</v>
      </c>
      <c r="C1" s="14" t="s">
        <v>4</v>
      </c>
      <c r="D1" s="14" t="s">
        <v>1</v>
      </c>
      <c r="E1" s="14" t="s">
        <v>2</v>
      </c>
      <c r="F1" s="14" t="s">
        <v>3</v>
      </c>
      <c r="G1" s="14" t="s">
        <v>7</v>
      </c>
    </row>
    <row r="2" spans="1:8">
      <c r="A2" s="26">
        <v>40130</v>
      </c>
      <c r="B2" s="3">
        <v>-10183896.199999999</v>
      </c>
      <c r="C2" s="14">
        <f>'Get Rate for Iteration 7 '!$B$4</f>
        <v>0.15821288575124823</v>
      </c>
      <c r="D2" s="14">
        <f>(1+C2)^G2</f>
        <v>1</v>
      </c>
      <c r="E2" s="16">
        <f>B2/D2</f>
        <v>-10183896.199999999</v>
      </c>
      <c r="F2" s="16">
        <f>E2</f>
        <v>-10183896.199999999</v>
      </c>
      <c r="G2" s="14">
        <f>1-1</f>
        <v>0</v>
      </c>
    </row>
    <row r="3" spans="1:8">
      <c r="A3" s="26">
        <v>40222</v>
      </c>
      <c r="B3" s="3">
        <v>361411.258975</v>
      </c>
      <c r="C3" s="14">
        <f>'Get Rate for Iteration 7 '!$B$4</f>
        <v>0.15821288575124823</v>
      </c>
      <c r="D3" s="14">
        <f t="shared" ref="D3:D8" si="0">(1+C3)^G3</f>
        <v>1.0374020410027975</v>
      </c>
      <c r="E3" s="16">
        <f>B3/D3</f>
        <v>348381.09497610427</v>
      </c>
      <c r="F3" s="16">
        <f>F2+E3</f>
        <v>-9835515.1050238945</v>
      </c>
      <c r="G3" s="14">
        <v>0.25</v>
      </c>
      <c r="H3" s="3" t="s">
        <v>5</v>
      </c>
    </row>
    <row r="4" spans="1:8">
      <c r="A4" s="26">
        <v>40311</v>
      </c>
      <c r="B4" s="3">
        <v>361411.258975</v>
      </c>
      <c r="C4" s="14">
        <f>'Get Rate for Iteration 7 '!$B$4</f>
        <v>0.15821288575124823</v>
      </c>
      <c r="D4" s="14">
        <f t="shared" si="0"/>
        <v>1.0762029946767702</v>
      </c>
      <c r="E4" s="16">
        <f t="shared" ref="E4:E8" si="1">B4/D4</f>
        <v>335820.71483042778</v>
      </c>
      <c r="F4" s="16">
        <f t="shared" ref="F4:F8" si="2">F3+E4</f>
        <v>-9499694.3901934661</v>
      </c>
      <c r="G4" s="14">
        <v>0.5</v>
      </c>
    </row>
    <row r="5" spans="1:8">
      <c r="A5" s="26">
        <v>40403</v>
      </c>
      <c r="B5" s="3">
        <v>361411.258975</v>
      </c>
      <c r="C5" s="14">
        <f>'Get Rate for Iteration 7 '!$B$4</f>
        <v>0.15821288575124823</v>
      </c>
      <c r="D5" s="14">
        <f t="shared" si="0"/>
        <v>1.1164551832110043</v>
      </c>
      <c r="E5" s="16">
        <f t="shared" si="1"/>
        <v>323713.18115569634</v>
      </c>
      <c r="F5" s="16">
        <f t="shared" si="2"/>
        <v>-9175981.2090377696</v>
      </c>
      <c r="G5" s="14">
        <v>0.75</v>
      </c>
    </row>
    <row r="6" spans="1:8">
      <c r="A6" s="26">
        <v>40495</v>
      </c>
      <c r="B6" s="3">
        <v>361411.258975</v>
      </c>
      <c r="C6" s="14">
        <f>'Get Rate for Iteration 7 '!$B$4</f>
        <v>0.15821288575124823</v>
      </c>
      <c r="D6" s="14">
        <f t="shared" si="0"/>
        <v>1.1582128857512481</v>
      </c>
      <c r="E6" s="16">
        <f t="shared" si="1"/>
        <v>312042.16722263361</v>
      </c>
      <c r="F6" s="16">
        <f t="shared" si="2"/>
        <v>-8863939.0418151356</v>
      </c>
      <c r="G6" s="14">
        <v>1</v>
      </c>
    </row>
    <row r="7" spans="1:8">
      <c r="A7" s="26">
        <v>40587</v>
      </c>
      <c r="B7" s="3">
        <v>361411.258975</v>
      </c>
      <c r="C7" s="14">
        <f>'Get Rate for Iteration 7 '!$B$4</f>
        <v>0.15821288575124823</v>
      </c>
      <c r="D7" s="14">
        <f t="shared" si="0"/>
        <v>1.2015324115940849</v>
      </c>
      <c r="E7" s="16">
        <f t="shared" si="1"/>
        <v>300791.93493874389</v>
      </c>
      <c r="F7" s="16">
        <f t="shared" si="2"/>
        <v>-8563147.1068763919</v>
      </c>
      <c r="G7" s="14">
        <v>1.25</v>
      </c>
    </row>
    <row r="8" spans="1:8">
      <c r="A8" s="26">
        <v>40676</v>
      </c>
      <c r="B8" s="3">
        <v>361411.258975</v>
      </c>
      <c r="C8" s="14">
        <f>'Get Rate for Iteration 7 '!$B$4</f>
        <v>0.15821288575124823</v>
      </c>
      <c r="D8" s="14">
        <f t="shared" si="0"/>
        <v>1.2464721761187172</v>
      </c>
      <c r="E8" s="16">
        <f t="shared" si="1"/>
        <v>289947.31362585846</v>
      </c>
      <c r="F8" s="16">
        <f t="shared" si="2"/>
        <v>-8273199.7932505338</v>
      </c>
      <c r="G8" s="14">
        <v>1.5</v>
      </c>
    </row>
    <row r="9" spans="1:8">
      <c r="A9" s="26">
        <v>40768</v>
      </c>
      <c r="B9" s="3">
        <v>361411.258975</v>
      </c>
      <c r="C9" s="14">
        <f>'Get Rate for Iteration 7 '!$B$4</f>
        <v>0.15821288575124823</v>
      </c>
      <c r="D9" s="14">
        <f t="shared" ref="D9:D30" si="3">(1+C9)^G9</f>
        <v>1.2930927795587557</v>
      </c>
      <c r="E9" s="16">
        <f t="shared" ref="E9:E30" si="4">B9/D9</f>
        <v>279493.67956282687</v>
      </c>
      <c r="F9" s="16">
        <f t="shared" ref="F9:F30" si="5">F8+E9</f>
        <v>-7993706.1136877071</v>
      </c>
      <c r="G9" s="14">
        <v>1.75</v>
      </c>
    </row>
    <row r="10" spans="1:8">
      <c r="A10" s="26">
        <v>40860</v>
      </c>
      <c r="B10" s="3">
        <v>361411.258975</v>
      </c>
      <c r="C10" s="14">
        <f>'Get Rate for Iteration 7 '!$B$4</f>
        <v>0.15821288575124823</v>
      </c>
      <c r="D10" s="14">
        <f t="shared" si="3"/>
        <v>1.3414570887202337</v>
      </c>
      <c r="E10" s="16">
        <f t="shared" si="4"/>
        <v>269416.93626576656</v>
      </c>
      <c r="F10" s="16">
        <f t="shared" si="5"/>
        <v>-7724289.1774219405</v>
      </c>
      <c r="G10" s="14">
        <v>2</v>
      </c>
    </row>
    <row r="11" spans="1:8">
      <c r="A11" s="26">
        <v>40952</v>
      </c>
      <c r="B11" s="3">
        <v>361411.258975</v>
      </c>
      <c r="C11" s="14">
        <f>'Get Rate for Iteration 7 '!$B$4</f>
        <v>0.15821288575124823</v>
      </c>
      <c r="D11" s="14">
        <f t="shared" si="3"/>
        <v>1.3916303217560415</v>
      </c>
      <c r="E11" s="16">
        <f t="shared" si="4"/>
        <v>259703.49547928065</v>
      </c>
      <c r="F11" s="16">
        <f t="shared" si="5"/>
        <v>-7464585.6819426594</v>
      </c>
      <c r="G11" s="14">
        <v>2.25</v>
      </c>
    </row>
    <row r="12" spans="1:8">
      <c r="A12" s="26">
        <v>41042</v>
      </c>
      <c r="B12" s="3">
        <v>361411.258975</v>
      </c>
      <c r="C12" s="14">
        <f>'Get Rate for Iteration 7 '!$B$4</f>
        <v>0.15821288575124823</v>
      </c>
      <c r="D12" s="14">
        <f t="shared" si="3"/>
        <v>1.4436801361110974</v>
      </c>
      <c r="E12" s="16">
        <f t="shared" si="4"/>
        <v>250340.25885300944</v>
      </c>
      <c r="F12" s="16">
        <f t="shared" si="5"/>
        <v>-7214245.4230896495</v>
      </c>
      <c r="G12" s="14">
        <v>2.5</v>
      </c>
    </row>
    <row r="13" spans="1:8">
      <c r="A13" s="26">
        <v>41134</v>
      </c>
      <c r="B13" s="3">
        <v>361411.258975</v>
      </c>
      <c r="C13" s="14">
        <f>'Get Rate for Iteration 7 '!$B$4</f>
        <v>0.15821288575124823</v>
      </c>
      <c r="D13" s="14">
        <f t="shared" si="3"/>
        <v>1.497676719756849</v>
      </c>
      <c r="E13" s="16">
        <f t="shared" si="4"/>
        <v>241314.60027880775</v>
      </c>
      <c r="F13" s="16">
        <f t="shared" si="5"/>
        <v>-6972930.8228108417</v>
      </c>
      <c r="G13" s="14">
        <v>2.75</v>
      </c>
    </row>
    <row r="14" spans="1:8">
      <c r="A14" s="26">
        <v>41226</v>
      </c>
      <c r="B14" s="3">
        <v>361411.258975</v>
      </c>
      <c r="C14" s="14">
        <f>'Get Rate for Iteration 7 '!$B$4</f>
        <v>0.15821288575124823</v>
      </c>
      <c r="D14" s="14">
        <f t="shared" si="3"/>
        <v>1.55369288583813</v>
      </c>
      <c r="E14" s="16">
        <f t="shared" si="4"/>
        <v>232614.34886473007</v>
      </c>
      <c r="F14" s="16">
        <f t="shared" si="5"/>
        <v>-6740316.4739461113</v>
      </c>
      <c r="G14" s="14">
        <v>3</v>
      </c>
    </row>
    <row r="15" spans="1:8">
      <c r="A15" s="26">
        <v>41318</v>
      </c>
      <c r="B15" s="3">
        <v>361411.258975</v>
      </c>
      <c r="C15" s="14">
        <f>'Get Rate for Iteration 7 '!$B$4</f>
        <v>0.15821288575124823</v>
      </c>
      <c r="D15" s="14">
        <f t="shared" si="3"/>
        <v>1.6118041708600028</v>
      </c>
      <c r="E15" s="16">
        <f t="shared" si="4"/>
        <v>224227.77252286393</v>
      </c>
      <c r="F15" s="16">
        <f t="shared" si="5"/>
        <v>-6516088.7014232473</v>
      </c>
      <c r="G15" s="14">
        <v>3.25</v>
      </c>
    </row>
    <row r="16" spans="1:8">
      <c r="A16" s="26">
        <v>41407</v>
      </c>
      <c r="B16" s="3">
        <v>361411.258975</v>
      </c>
      <c r="C16" s="14">
        <f>'Get Rate for Iteration 7 '!$B$4</f>
        <v>0.15821288575124823</v>
      </c>
      <c r="D16" s="14">
        <f t="shared" si="3"/>
        <v>1.6720889365469886</v>
      </c>
      <c r="E16" s="16">
        <f t="shared" si="4"/>
        <v>216143.56214888077</v>
      </c>
      <c r="F16" s="16">
        <f t="shared" si="5"/>
        <v>-6299945.1392743662</v>
      </c>
      <c r="G16" s="14">
        <v>3.5</v>
      </c>
    </row>
    <row r="17" spans="1:7">
      <c r="A17" s="26">
        <v>41499</v>
      </c>
      <c r="B17" s="3">
        <v>361411.258975</v>
      </c>
      <c r="C17" s="14">
        <f>'Get Rate for Iteration 7 '!$B$4</f>
        <v>0.15821288575124823</v>
      </c>
      <c r="D17" s="14">
        <f t="shared" si="3"/>
        <v>1.7346284755120434</v>
      </c>
      <c r="E17" s="16">
        <f t="shared" si="4"/>
        <v>208350.81637197</v>
      </c>
      <c r="F17" s="16">
        <f t="shared" si="5"/>
        <v>-6091594.3229023963</v>
      </c>
      <c r="G17" s="14">
        <v>3.75</v>
      </c>
    </row>
    <row r="18" spans="1:7">
      <c r="A18" s="26">
        <v>41591</v>
      </c>
      <c r="B18" s="3">
        <v>361411.258975</v>
      </c>
      <c r="C18" s="14">
        <f>'Get Rate for Iteration 7 '!$B$4</f>
        <v>0.15821288575124823</v>
      </c>
      <c r="D18" s="14">
        <f t="shared" si="3"/>
        <v>1.7995071208777651</v>
      </c>
      <c r="E18" s="16">
        <f t="shared" si="4"/>
        <v>200839.02685459255</v>
      </c>
      <c r="F18" s="16">
        <f t="shared" si="5"/>
        <v>-5890755.2960478039</v>
      </c>
      <c r="G18" s="14">
        <v>4</v>
      </c>
    </row>
    <row r="19" spans="1:7">
      <c r="A19" s="26">
        <v>41683</v>
      </c>
      <c r="B19" s="3">
        <v>361411.258975</v>
      </c>
      <c r="C19" s="14">
        <f>'Get Rate for Iteration 7 '!$B$4</f>
        <v>0.15821288575124823</v>
      </c>
      <c r="D19" s="14">
        <f t="shared" si="3"/>
        <v>1.8668123599976616</v>
      </c>
      <c r="E19" s="16">
        <f t="shared" si="4"/>
        <v>193598.06412223063</v>
      </c>
      <c r="F19" s="16">
        <f t="shared" si="5"/>
        <v>-5697157.2319255732</v>
      </c>
      <c r="G19" s="14">
        <v>4.25</v>
      </c>
    </row>
    <row r="20" spans="1:7">
      <c r="A20" s="26">
        <v>41772</v>
      </c>
      <c r="B20" s="3">
        <v>361411.258975</v>
      </c>
      <c r="C20" s="14">
        <f>'Get Rate for Iteration 7 '!$B$4</f>
        <v>0.15821288575124823</v>
      </c>
      <c r="D20" s="14">
        <f t="shared" si="3"/>
        <v>1.9366349524308235</v>
      </c>
      <c r="E20" s="16">
        <f t="shared" si="4"/>
        <v>186618.16390402548</v>
      </c>
      <c r="F20" s="16">
        <f t="shared" si="5"/>
        <v>-5510539.068021548</v>
      </c>
      <c r="G20" s="14">
        <v>4.5</v>
      </c>
    </row>
    <row r="21" spans="1:7">
      <c r="A21" s="26">
        <v>41864</v>
      </c>
      <c r="B21" s="3">
        <v>361411.258975</v>
      </c>
      <c r="C21" s="14">
        <f>'Get Rate for Iteration 7 '!$B$4</f>
        <v>0.15821288575124823</v>
      </c>
      <c r="D21" s="14">
        <f t="shared" si="3"/>
        <v>2.0090690523290919</v>
      </c>
      <c r="E21" s="16">
        <f t="shared" si="4"/>
        <v>179889.91396588378</v>
      </c>
      <c r="F21" s="16">
        <f t="shared" si="5"/>
        <v>-5330649.1540556643</v>
      </c>
      <c r="G21" s="14">
        <v>4.75</v>
      </c>
    </row>
    <row r="22" spans="1:7">
      <c r="A22" s="26">
        <v>41956</v>
      </c>
      <c r="B22" s="3">
        <v>361411.258975</v>
      </c>
      <c r="C22" s="14">
        <f>'Get Rate for Iteration 7 '!$B$4</f>
        <v>0.15821288575124823</v>
      </c>
      <c r="D22" s="14">
        <f t="shared" si="3"/>
        <v>2.0842123354017565</v>
      </c>
      <c r="E22" s="16">
        <f t="shared" si="4"/>
        <v>173404.24141829758</v>
      </c>
      <c r="F22" s="16">
        <f t="shared" si="5"/>
        <v>-5157244.9126373669</v>
      </c>
      <c r="G22" s="14">
        <v>5</v>
      </c>
    </row>
    <row r="23" spans="1:7">
      <c r="A23" s="26">
        <v>42048</v>
      </c>
      <c r="B23" s="3">
        <v>361411.258975</v>
      </c>
      <c r="C23" s="14">
        <f>'Get Rate for Iteration 7 '!$B$4</f>
        <v>0.15821288575124823</v>
      </c>
      <c r="D23" s="14">
        <f t="shared" si="3"/>
        <v>2.1621661306289894</v>
      </c>
      <c r="E23" s="16">
        <f t="shared" si="4"/>
        <v>167152.40048176266</v>
      </c>
      <c r="F23" s="16">
        <f t="shared" si="5"/>
        <v>-4990092.5121556045</v>
      </c>
      <c r="G23" s="14">
        <v>5.25</v>
      </c>
    </row>
    <row r="24" spans="1:7">
      <c r="A24" s="26">
        <v>42137</v>
      </c>
      <c r="B24" s="3">
        <v>361411.258975</v>
      </c>
      <c r="C24" s="14">
        <f>'Get Rate for Iteration 7 '!$B$4</f>
        <v>0.15821288575124823</v>
      </c>
      <c r="D24" s="14">
        <f t="shared" si="3"/>
        <v>2.2430355569016354</v>
      </c>
      <c r="E24" s="16">
        <f t="shared" si="4"/>
        <v>161125.9606932968</v>
      </c>
      <c r="F24" s="16">
        <f t="shared" si="5"/>
        <v>-4828966.5514623076</v>
      </c>
      <c r="G24" s="14">
        <v>5.5</v>
      </c>
    </row>
    <row r="25" spans="1:7">
      <c r="A25" s="26">
        <v>42229</v>
      </c>
      <c r="B25" s="3">
        <v>361411.258975</v>
      </c>
      <c r="C25" s="14">
        <f>'Get Rate for Iteration 7 '!$B$4</f>
        <v>0.15821288575124823</v>
      </c>
      <c r="D25" s="14">
        <f t="shared" si="3"/>
        <v>2.3269296647716033</v>
      </c>
      <c r="E25" s="16">
        <f t="shared" si="4"/>
        <v>155316.79553815557</v>
      </c>
      <c r="F25" s="16">
        <f t="shared" si="5"/>
        <v>-4673649.7559241522</v>
      </c>
      <c r="G25" s="14">
        <v>5.75</v>
      </c>
    </row>
    <row r="26" spans="1:7">
      <c r="A26" s="26">
        <v>42321</v>
      </c>
      <c r="B26" s="3">
        <v>361411.258975</v>
      </c>
      <c r="C26" s="14">
        <f>'Get Rate for Iteration 7 '!$B$4</f>
        <v>0.15821288575124823</v>
      </c>
      <c r="D26" s="14">
        <f t="shared" si="3"/>
        <v>2.4139615835040167</v>
      </c>
      <c r="E26" s="16">
        <f t="shared" si="4"/>
        <v>149717.07149141491</v>
      </c>
      <c r="F26" s="16">
        <f t="shared" si="5"/>
        <v>-4523932.6844327375</v>
      </c>
      <c r="G26" s="14">
        <v>6</v>
      </c>
    </row>
    <row r="27" spans="1:7">
      <c r="A27" s="26">
        <v>42413</v>
      </c>
      <c r="B27" s="3">
        <v>361411.258975</v>
      </c>
      <c r="C27" s="14">
        <f>'Get Rate for Iteration 7 '!$B$4</f>
        <v>0.15821288575124823</v>
      </c>
      <c r="D27" s="14">
        <f t="shared" si="3"/>
        <v>2.5042486736294123</v>
      </c>
      <c r="E27" s="16">
        <f t="shared" si="4"/>
        <v>144319.23745464382</v>
      </c>
      <c r="F27" s="16">
        <f t="shared" si="5"/>
        <v>-4379613.4469780941</v>
      </c>
      <c r="G27" s="14">
        <v>6.25</v>
      </c>
    </row>
    <row r="28" spans="1:7">
      <c r="A28" s="26">
        <v>42503</v>
      </c>
      <c r="B28" s="3">
        <v>361411.258975</v>
      </c>
      <c r="C28" s="14">
        <f>'Get Rate for Iteration 7 '!$B$4</f>
        <v>0.15821288575124823</v>
      </c>
      <c r="D28" s="14">
        <f t="shared" si="3"/>
        <v>2.5979126852017007</v>
      </c>
      <c r="E28" s="16">
        <f t="shared" si="4"/>
        <v>139116.0145734229</v>
      </c>
      <c r="F28" s="16">
        <f t="shared" si="5"/>
        <v>-4240497.4324046709</v>
      </c>
      <c r="G28" s="14">
        <v>6.5</v>
      </c>
    </row>
    <row r="29" spans="1:7">
      <c r="A29" s="26">
        <v>42595</v>
      </c>
      <c r="B29" s="3">
        <v>361411.258975</v>
      </c>
      <c r="C29" s="14">
        <f>'Get Rate for Iteration 7 '!$B$4</f>
        <v>0.15821288575124823</v>
      </c>
      <c r="D29" s="14">
        <f t="shared" si="3"/>
        <v>2.695079921975303</v>
      </c>
      <c r="E29" s="16">
        <f t="shared" si="4"/>
        <v>134100.38642197711</v>
      </c>
      <c r="F29" s="16">
        <f t="shared" si="5"/>
        <v>-4106397.0459826938</v>
      </c>
      <c r="G29" s="14">
        <v>6.75</v>
      </c>
    </row>
    <row r="30" spans="1:7">
      <c r="A30" s="26">
        <v>42687</v>
      </c>
      <c r="B30" s="3">
        <v>11481757.688975001</v>
      </c>
      <c r="C30" s="14">
        <f>'Get Rate for Iteration 7 '!$B$4</f>
        <v>0.15821288575124823</v>
      </c>
      <c r="D30" s="14">
        <f t="shared" si="3"/>
        <v>2.7958814117228394</v>
      </c>
      <c r="E30" s="16">
        <f t="shared" si="4"/>
        <v>4106668.3446705528</v>
      </c>
      <c r="F30" s="16">
        <f t="shared" si="5"/>
        <v>271.2986878589727</v>
      </c>
      <c r="G30" s="14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00B0F0"/>
  </sheetPr>
  <dimension ref="A1:C8"/>
  <sheetViews>
    <sheetView workbookViewId="0">
      <selection activeCell="B9" sqref="B9"/>
    </sheetView>
  </sheetViews>
  <sheetFormatPr defaultRowHeight="12.75"/>
  <cols>
    <col min="2" max="2" width="18" bestFit="1" customWidth="1"/>
  </cols>
  <sheetData>
    <row r="1" spans="1:3">
      <c r="A1" s="1" t="s">
        <v>8</v>
      </c>
      <c r="B1" s="1"/>
    </row>
    <row r="2" spans="1:3">
      <c r="A2" s="1"/>
      <c r="B2" s="1"/>
    </row>
    <row r="3" spans="1:3">
      <c r="A3" s="1"/>
      <c r="B3" s="1"/>
    </row>
    <row r="4" spans="1:3">
      <c r="A4" s="9" t="s">
        <v>11</v>
      </c>
      <c r="B4" s="12">
        <f>B5-B7*(B5-B6)/(B7-B8)</f>
        <v>0.15821960771477867</v>
      </c>
      <c r="C4" s="1" t="s">
        <v>32</v>
      </c>
    </row>
    <row r="5" spans="1:3">
      <c r="A5" s="10" t="s">
        <v>9</v>
      </c>
      <c r="B5" s="1">
        <f>'Iteration 7 '!C2</f>
        <v>0.15821288575124823</v>
      </c>
      <c r="C5" s="1" t="s">
        <v>34</v>
      </c>
    </row>
    <row r="6" spans="1:3">
      <c r="A6" s="10" t="s">
        <v>10</v>
      </c>
      <c r="B6" s="1">
        <f>'Iteration 6'!C2</f>
        <v>0.15779732952918302</v>
      </c>
      <c r="C6" s="1" t="s">
        <v>35</v>
      </c>
    </row>
    <row r="7" spans="1:3">
      <c r="A7" s="10" t="s">
        <v>12</v>
      </c>
      <c r="B7" s="5">
        <f>'Iteration 7 '!F30</f>
        <v>271.2986878589727</v>
      </c>
      <c r="C7" s="1" t="s">
        <v>33</v>
      </c>
    </row>
    <row r="8" spans="1:3">
      <c r="A8" s="10" t="s">
        <v>13</v>
      </c>
      <c r="B8" s="5">
        <f>'Iteration 6'!F30</f>
        <v>17043.162633185275</v>
      </c>
      <c r="C8" s="1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F0"/>
  </sheetPr>
  <dimension ref="A1:I30"/>
  <sheetViews>
    <sheetView workbookViewId="0">
      <selection activeCell="F8" sqref="F8:F29"/>
    </sheetView>
  </sheetViews>
  <sheetFormatPr defaultRowHeight="12.75"/>
  <cols>
    <col min="5" max="5" width="14.5703125" bestFit="1" customWidth="1"/>
    <col min="6" max="6" width="18.7109375" bestFit="1" customWidth="1"/>
  </cols>
  <sheetData>
    <row r="1" spans="1:9">
      <c r="A1" s="14"/>
      <c r="B1" s="14" t="s">
        <v>0</v>
      </c>
      <c r="C1" s="14" t="s">
        <v>4</v>
      </c>
      <c r="D1" s="14" t="s">
        <v>1</v>
      </c>
      <c r="E1" s="14" t="s">
        <v>2</v>
      </c>
      <c r="F1" s="14" t="s">
        <v>3</v>
      </c>
      <c r="G1" s="14" t="s">
        <v>7</v>
      </c>
    </row>
    <row r="2" spans="1:9">
      <c r="A2" s="26">
        <v>40130</v>
      </c>
      <c r="B2" s="3">
        <v>-10183896.199999999</v>
      </c>
      <c r="C2" s="14">
        <f>'Get Rate for Iteration 8 '!$B$4</f>
        <v>0.15821960771477867</v>
      </c>
      <c r="D2" s="14">
        <f>(1+C2)^G2</f>
        <v>1</v>
      </c>
      <c r="E2" s="16">
        <f>B2/D2</f>
        <v>-10183896.199999999</v>
      </c>
      <c r="F2" s="16">
        <f>E2</f>
        <v>-10183896.199999999</v>
      </c>
      <c r="G2" s="14">
        <f>1-1</f>
        <v>0</v>
      </c>
    </row>
    <row r="3" spans="1:9">
      <c r="A3" s="26">
        <v>40222</v>
      </c>
      <c r="B3" s="3">
        <v>361411.258975</v>
      </c>
      <c r="C3" s="14">
        <f>'Get Rate for Iteration 8 '!$B$4</f>
        <v>0.15821960771477867</v>
      </c>
      <c r="D3" s="14">
        <f t="shared" ref="D3:D8" si="0">(1+C3)^G3</f>
        <v>1.0374035462017974</v>
      </c>
      <c r="E3" s="16">
        <f>B3/D3</f>
        <v>348380.58949983359</v>
      </c>
      <c r="F3" s="16">
        <f>F2+E3</f>
        <v>-9835515.6105001662</v>
      </c>
      <c r="G3" s="14">
        <v>0.25</v>
      </c>
    </row>
    <row r="4" spans="1:9">
      <c r="A4" s="26">
        <v>40311</v>
      </c>
      <c r="B4" s="3">
        <v>361411.258975</v>
      </c>
      <c r="C4" s="14">
        <f>'Get Rate for Iteration 8 '!$B$4</f>
        <v>0.15821960771477867</v>
      </c>
      <c r="D4" s="14">
        <f t="shared" si="0"/>
        <v>1.076206117672065</v>
      </c>
      <c r="E4" s="16">
        <f t="shared" ref="E4:E8" si="1">B4/D4</f>
        <v>335819.7403270356</v>
      </c>
      <c r="F4" s="16">
        <f t="shared" ref="F4:F8" si="2">F3+E4</f>
        <v>-9499695.8701731302</v>
      </c>
      <c r="G4" s="14">
        <v>0.5</v>
      </c>
    </row>
    <row r="5" spans="1:9">
      <c r="A5" s="26">
        <v>40403</v>
      </c>
      <c r="B5" s="3">
        <v>361411.258975</v>
      </c>
      <c r="C5" s="14">
        <f>'Get Rate for Iteration 8 '!$B$4</f>
        <v>0.15821960771477867</v>
      </c>
      <c r="D5" s="14">
        <f t="shared" si="0"/>
        <v>1.1164600429170692</v>
      </c>
      <c r="E5" s="16">
        <f t="shared" si="1"/>
        <v>323711.77210311114</v>
      </c>
      <c r="F5" s="16">
        <f t="shared" si="2"/>
        <v>-9175984.0980700199</v>
      </c>
      <c r="G5" s="14">
        <v>0.75</v>
      </c>
    </row>
    <row r="6" spans="1:9">
      <c r="A6" s="26">
        <v>40495</v>
      </c>
      <c r="B6" s="3">
        <v>361411.258975</v>
      </c>
      <c r="C6" s="14">
        <f>'Get Rate for Iteration 8 '!$B$4</f>
        <v>0.15821960771477867</v>
      </c>
      <c r="D6" s="14">
        <f t="shared" si="0"/>
        <v>1.1582196077147786</v>
      </c>
      <c r="E6" s="16">
        <f t="shared" si="1"/>
        <v>312040.35622232413</v>
      </c>
      <c r="F6" s="16">
        <f t="shared" si="2"/>
        <v>-8863943.7418476958</v>
      </c>
      <c r="G6" s="14">
        <v>1</v>
      </c>
    </row>
    <row r="7" spans="1:9">
      <c r="A7" s="26">
        <v>40587</v>
      </c>
      <c r="B7" s="3">
        <v>361411.258975</v>
      </c>
      <c r="C7" s="14">
        <f>'Get Rate for Iteration 8 '!$B$4</f>
        <v>0.15821960771477867</v>
      </c>
      <c r="D7" s="14">
        <f t="shared" si="0"/>
        <v>1.201541128323766</v>
      </c>
      <c r="E7" s="16">
        <f t="shared" si="1"/>
        <v>300789.75280620978</v>
      </c>
      <c r="F7" s="16">
        <f t="shared" si="2"/>
        <v>-8563153.9890414868</v>
      </c>
      <c r="G7" s="14">
        <v>1.25</v>
      </c>
    </row>
    <row r="8" spans="1:9">
      <c r="A8" s="26">
        <v>40676</v>
      </c>
      <c r="B8" s="3">
        <v>361411.258975</v>
      </c>
      <c r="C8" s="14">
        <f>'Get Rate for Iteration 8 '!$B$4</f>
        <v>0.15821960771477867</v>
      </c>
      <c r="D8" s="14">
        <f t="shared" si="0"/>
        <v>1.246483027430384</v>
      </c>
      <c r="E8" s="16">
        <f t="shared" si="1"/>
        <v>289944.78947703505</v>
      </c>
      <c r="F8" s="16">
        <f t="shared" si="2"/>
        <v>-8273209.1995644514</v>
      </c>
      <c r="G8" s="14">
        <v>1.5</v>
      </c>
    </row>
    <row r="9" spans="1:9">
      <c r="A9" s="26">
        <v>40768</v>
      </c>
      <c r="B9" s="3">
        <v>361411.258975</v>
      </c>
      <c r="C9" s="14">
        <f>'Get Rate for Iteration 8 '!$B$4</f>
        <v>0.15821960771477867</v>
      </c>
      <c r="D9" s="14">
        <f t="shared" ref="D9:D30" si="3">(1+C9)^G9</f>
        <v>1.2931059129366329</v>
      </c>
      <c r="E9" s="16">
        <f t="shared" ref="E9:E30" si="4">B9/D9</f>
        <v>279490.84089658054</v>
      </c>
      <c r="F9" s="16">
        <f t="shared" ref="F9:F30" si="5">F8+E9</f>
        <v>-7993718.358667871</v>
      </c>
      <c r="G9" s="14">
        <v>1.75</v>
      </c>
    </row>
    <row r="10" spans="1:9">
      <c r="A10" s="26">
        <v>40860</v>
      </c>
      <c r="B10" s="3">
        <v>361411.258975</v>
      </c>
      <c r="C10" s="14">
        <f>'Get Rate for Iteration 8 '!$B$4</f>
        <v>0.15821960771477867</v>
      </c>
      <c r="D10" s="14">
        <f t="shared" si="3"/>
        <v>1.3414726596949758</v>
      </c>
      <c r="E10" s="16">
        <f t="shared" si="4"/>
        <v>269413.8090426515</v>
      </c>
      <c r="F10" s="16">
        <f t="shared" si="5"/>
        <v>-7724304.5496252198</v>
      </c>
      <c r="G10" s="14">
        <v>2</v>
      </c>
    </row>
    <row r="11" spans="1:9">
      <c r="A11" s="26">
        <v>40952</v>
      </c>
      <c r="B11" s="3">
        <v>361411.258975</v>
      </c>
      <c r="C11" s="14">
        <f>'Get Rate for Iteration 8 '!$B$4</f>
        <v>0.15821960771477867</v>
      </c>
      <c r="D11" s="14">
        <f t="shared" si="3"/>
        <v>1.3916484943003249</v>
      </c>
      <c r="E11" s="16">
        <f t="shared" si="4"/>
        <v>259700.10419671793</v>
      </c>
      <c r="F11" s="16">
        <f t="shared" si="5"/>
        <v>-7464604.4454285018</v>
      </c>
      <c r="G11" s="14">
        <v>2.25</v>
      </c>
    </row>
    <row r="12" spans="1:9">
      <c r="A12" s="26">
        <v>41042</v>
      </c>
      <c r="B12" s="3">
        <v>361411.258975</v>
      </c>
      <c r="C12" s="14">
        <f>'Get Rate for Iteration 8 '!$B$4</f>
        <v>0.15821960771477867</v>
      </c>
      <c r="D12" s="14">
        <f t="shared" si="3"/>
        <v>1.4437010830535491</v>
      </c>
      <c r="E12" s="16">
        <f t="shared" si="4"/>
        <v>250336.62661704514</v>
      </c>
      <c r="F12" s="16">
        <f t="shared" si="5"/>
        <v>-7214267.8188114567</v>
      </c>
      <c r="G12" s="14">
        <v>2.5</v>
      </c>
      <c r="H12" s="8"/>
      <c r="I12" s="8" t="s">
        <v>15</v>
      </c>
    </row>
    <row r="13" spans="1:9">
      <c r="A13" s="26">
        <v>41134</v>
      </c>
      <c r="B13" s="3">
        <v>361411.258975</v>
      </c>
      <c r="C13" s="14">
        <f>'Get Rate for Iteration 8 '!$B$4</f>
        <v>0.15821960771477867</v>
      </c>
      <c r="D13" s="14">
        <f t="shared" si="3"/>
        <v>1.4977006232151275</v>
      </c>
      <c r="E13" s="16">
        <f t="shared" si="4"/>
        <v>241310.74887259857</v>
      </c>
      <c r="F13" s="16">
        <f t="shared" si="5"/>
        <v>-6972957.069938858</v>
      </c>
      <c r="G13" s="14">
        <v>2.75</v>
      </c>
    </row>
    <row r="14" spans="1:9">
      <c r="A14" s="26">
        <v>41226</v>
      </c>
      <c r="B14" s="3">
        <v>361411.258975</v>
      </c>
      <c r="C14" s="14">
        <f>'Get Rate for Iteration 8 '!$B$4</f>
        <v>0.15821960771477867</v>
      </c>
      <c r="D14" s="14">
        <f t="shared" si="3"/>
        <v>1.5537199376720154</v>
      </c>
      <c r="E14" s="16">
        <f t="shared" si="4"/>
        <v>232610.29881389899</v>
      </c>
      <c r="F14" s="16">
        <f t="shared" si="5"/>
        <v>-6740346.771124959</v>
      </c>
      <c r="G14" s="14">
        <v>3</v>
      </c>
      <c r="H14" s="1" t="s">
        <v>5</v>
      </c>
    </row>
    <row r="15" spans="1:9">
      <c r="A15" s="26">
        <v>41318</v>
      </c>
      <c r="B15" s="3">
        <v>361411.258975</v>
      </c>
      <c r="C15" s="14">
        <f>'Get Rate for Iteration 8 '!$B$4</f>
        <v>0.15821960771477867</v>
      </c>
      <c r="D15" s="14">
        <f t="shared" si="3"/>
        <v>1.6118345731453847</v>
      </c>
      <c r="E15" s="16">
        <f t="shared" si="4"/>
        <v>224223.54315786308</v>
      </c>
      <c r="F15" s="16">
        <f t="shared" si="5"/>
        <v>-6516123.2279670956</v>
      </c>
      <c r="G15" s="14">
        <v>3.25</v>
      </c>
    </row>
    <row r="16" spans="1:9">
      <c r="A16" s="26">
        <v>41407</v>
      </c>
      <c r="B16" s="3">
        <v>361411.258975</v>
      </c>
      <c r="C16" s="14">
        <f>'Get Rate for Iteration 8 '!$B$4</f>
        <v>0.15821960771477867</v>
      </c>
      <c r="D16" s="14">
        <f t="shared" si="3"/>
        <v>1.6721229020716826</v>
      </c>
      <c r="E16" s="16">
        <f t="shared" si="4"/>
        <v>216139.17166449202</v>
      </c>
      <c r="F16" s="16">
        <f t="shared" si="5"/>
        <v>-6299984.0563026033</v>
      </c>
      <c r="G16" s="14">
        <v>3.5</v>
      </c>
    </row>
    <row r="17" spans="1:7">
      <c r="A17" s="26">
        <v>41499</v>
      </c>
      <c r="B17" s="3">
        <v>361411.258975</v>
      </c>
      <c r="C17" s="14">
        <f>'Get Rate for Iteration 8 '!$B$4</f>
        <v>0.15821960771477867</v>
      </c>
      <c r="D17" s="14">
        <f t="shared" si="3"/>
        <v>1.7346662282944043</v>
      </c>
      <c r="E17" s="16">
        <f t="shared" si="4"/>
        <v>208346.28188406856</v>
      </c>
      <c r="F17" s="16">
        <f t="shared" si="5"/>
        <v>-6091637.7744185347</v>
      </c>
      <c r="G17" s="14">
        <v>3.75</v>
      </c>
    </row>
    <row r="18" spans="1:7">
      <c r="A18" s="26">
        <v>41591</v>
      </c>
      <c r="B18" s="3">
        <v>361411.258975</v>
      </c>
      <c r="C18" s="14">
        <f>'Get Rate for Iteration 8 '!$B$4</f>
        <v>0.15821960771477867</v>
      </c>
      <c r="D18" s="14">
        <f t="shared" si="3"/>
        <v>1.7995488967091122</v>
      </c>
      <c r="E18" s="16">
        <f t="shared" si="4"/>
        <v>200834.36445429371</v>
      </c>
      <c r="F18" s="16">
        <f t="shared" si="5"/>
        <v>-5890803.4099642411</v>
      </c>
      <c r="G18" s="14">
        <v>4</v>
      </c>
    </row>
    <row r="19" spans="1:7">
      <c r="A19" s="26">
        <v>41683</v>
      </c>
      <c r="B19" s="3">
        <v>361411.258975</v>
      </c>
      <c r="C19" s="14">
        <f>'Get Rate for Iteration 8 '!$B$4</f>
        <v>0.15821960771477867</v>
      </c>
      <c r="D19" s="14">
        <f t="shared" si="3"/>
        <v>1.8668584070095651</v>
      </c>
      <c r="E19" s="16">
        <f t="shared" si="4"/>
        <v>193593.28892753474</v>
      </c>
      <c r="F19" s="16">
        <f t="shared" si="5"/>
        <v>-5697210.1210367065</v>
      </c>
      <c r="G19" s="14">
        <v>4.25</v>
      </c>
    </row>
    <row r="20" spans="1:7">
      <c r="A20" s="26">
        <v>41772</v>
      </c>
      <c r="B20" s="3">
        <v>361411.258975</v>
      </c>
      <c r="C20" s="14">
        <f>'Get Rate for Iteration 8 '!$B$4</f>
        <v>0.15821960771477867</v>
      </c>
      <c r="D20" s="14">
        <f t="shared" si="3"/>
        <v>1.9366855316883613</v>
      </c>
      <c r="E20" s="16">
        <f t="shared" si="4"/>
        <v>186613.29010907069</v>
      </c>
      <c r="F20" s="16">
        <f t="shared" si="5"/>
        <v>-5510596.8309276355</v>
      </c>
      <c r="G20" s="14">
        <v>4.5</v>
      </c>
    </row>
    <row r="21" spans="1:7">
      <c r="A21" s="26">
        <v>41864</v>
      </c>
      <c r="B21" s="3">
        <v>361411.258975</v>
      </c>
      <c r="C21" s="14">
        <f>'Get Rate for Iteration 8 '!$B$4</f>
        <v>0.15821960771477867</v>
      </c>
      <c r="D21" s="14">
        <f t="shared" si="3"/>
        <v>2.0091244384512197</v>
      </c>
      <c r="E21" s="16">
        <f t="shared" si="4"/>
        <v>179884.9548879124</v>
      </c>
      <c r="F21" s="16">
        <f t="shared" si="5"/>
        <v>-5330711.8760397229</v>
      </c>
      <c r="G21" s="14">
        <v>4.75</v>
      </c>
    </row>
    <row r="22" spans="1:7">
      <c r="A22" s="26">
        <v>41956</v>
      </c>
      <c r="B22" s="3">
        <v>361411.258975</v>
      </c>
      <c r="C22" s="14">
        <f>'Get Rate for Iteration 8 '!$B$4</f>
        <v>0.15821960771477867</v>
      </c>
      <c r="D22" s="14">
        <f t="shared" si="3"/>
        <v>2.0842728172099907</v>
      </c>
      <c r="E22" s="16">
        <f t="shared" si="4"/>
        <v>173399.20954243667</v>
      </c>
      <c r="F22" s="16">
        <f t="shared" si="5"/>
        <v>-5157312.6664972864</v>
      </c>
      <c r="G22" s="14">
        <v>5</v>
      </c>
    </row>
    <row r="23" spans="1:7">
      <c r="A23" s="26">
        <v>42048</v>
      </c>
      <c r="B23" s="3">
        <v>361411.258975</v>
      </c>
      <c r="C23" s="14">
        <f>'Get Rate for Iteration 8 '!$B$4</f>
        <v>0.15821960771477867</v>
      </c>
      <c r="D23" s="14">
        <f t="shared" si="3"/>
        <v>2.1622320118256551</v>
      </c>
      <c r="E23" s="16">
        <f t="shared" si="4"/>
        <v>167147.30750371542</v>
      </c>
      <c r="F23" s="16">
        <f t="shared" si="5"/>
        <v>-4990165.3589935713</v>
      </c>
      <c r="G23" s="14">
        <v>5.25</v>
      </c>
    </row>
    <row r="24" spans="1:7">
      <c r="A24" s="26">
        <v>42137</v>
      </c>
      <c r="B24" s="3">
        <v>361411.258975</v>
      </c>
      <c r="C24" s="14">
        <f>'Get Rate for Iteration 8 '!$B$4</f>
        <v>0.15821960771477867</v>
      </c>
      <c r="D24" s="14">
        <f t="shared" si="3"/>
        <v>2.2431071567789815</v>
      </c>
      <c r="E24" s="16">
        <f t="shared" si="4"/>
        <v>161120.81756003719</v>
      </c>
      <c r="F24" s="16">
        <f t="shared" si="5"/>
        <v>-4829044.5414335337</v>
      </c>
      <c r="G24" s="14">
        <v>5.5</v>
      </c>
    </row>
    <row r="25" spans="1:7">
      <c r="A25" s="26">
        <v>42229</v>
      </c>
      <c r="B25" s="3">
        <v>361411.258975</v>
      </c>
      <c r="C25" s="14">
        <f>'Get Rate for Iteration 8 '!$B$4</f>
        <v>0.15821960771477867</v>
      </c>
      <c r="D25" s="14">
        <f t="shared" si="3"/>
        <v>2.3270073189531466</v>
      </c>
      <c r="E25" s="16">
        <f t="shared" si="4"/>
        <v>155311.6124867147</v>
      </c>
      <c r="F25" s="16">
        <f t="shared" si="5"/>
        <v>-4673732.9289468192</v>
      </c>
      <c r="G25" s="14">
        <v>5.75</v>
      </c>
    </row>
    <row r="26" spans="1:7">
      <c r="A26" s="26">
        <v>42321</v>
      </c>
      <c r="B26" s="3">
        <v>361411.258975</v>
      </c>
      <c r="C26" s="14">
        <f>'Get Rate for Iteration 8 '!$B$4</f>
        <v>0.15821960771477867</v>
      </c>
      <c r="D26" s="14">
        <f t="shared" si="3"/>
        <v>2.4140456447195318</v>
      </c>
      <c r="E26" s="16">
        <f t="shared" si="4"/>
        <v>149711.85808584388</v>
      </c>
      <c r="F26" s="16">
        <f t="shared" si="5"/>
        <v>-4524021.0708609754</v>
      </c>
      <c r="G26" s="14">
        <v>6</v>
      </c>
    </row>
    <row r="27" spans="1:7">
      <c r="A27" s="26">
        <v>42413</v>
      </c>
      <c r="B27" s="3">
        <v>361411.258975</v>
      </c>
      <c r="C27" s="14">
        <f>'Get Rate for Iteration 8 '!$B$4</f>
        <v>0.15821960771477867</v>
      </c>
      <c r="D27" s="14">
        <f t="shared" si="3"/>
        <v>2.5043395125250467</v>
      </c>
      <c r="E27" s="16">
        <f t="shared" si="4"/>
        <v>144314.00262123422</v>
      </c>
      <c r="F27" s="16">
        <f t="shared" si="5"/>
        <v>-4379707.068239741</v>
      </c>
      <c r="G27" s="14">
        <v>6.25</v>
      </c>
    </row>
    <row r="28" spans="1:7">
      <c r="A28" s="26">
        <v>42503</v>
      </c>
      <c r="B28" s="3">
        <v>361411.258975</v>
      </c>
      <c r="C28" s="14">
        <f>'Get Rate for Iteration 8 '!$B$4</f>
        <v>0.15821960771477867</v>
      </c>
      <c r="D28" s="14">
        <f t="shared" si="3"/>
        <v>2.5980106911867642</v>
      </c>
      <c r="E28" s="16">
        <f t="shared" si="4"/>
        <v>139110.76663426214</v>
      </c>
      <c r="F28" s="16">
        <f t="shared" si="5"/>
        <v>-4240596.3016054789</v>
      </c>
      <c r="G28" s="14">
        <v>6.5</v>
      </c>
    </row>
    <row r="29" spans="1:7">
      <c r="A29" s="26">
        <v>42595</v>
      </c>
      <c r="B29" s="3">
        <v>361411.258975</v>
      </c>
      <c r="C29" s="14">
        <f>'Get Rate for Iteration 8 '!$B$4</f>
        <v>0.15821960771477867</v>
      </c>
      <c r="D29" s="14">
        <f t="shared" si="3"/>
        <v>2.6951855041073323</v>
      </c>
      <c r="E29" s="16">
        <f t="shared" si="4"/>
        <v>134095.13312691342</v>
      </c>
      <c r="F29" s="16">
        <f t="shared" si="5"/>
        <v>-4106501.1684785653</v>
      </c>
      <c r="G29" s="14">
        <v>6.75</v>
      </c>
    </row>
    <row r="30" spans="1:7">
      <c r="A30" s="26">
        <v>42687</v>
      </c>
      <c r="B30" s="3">
        <v>11481757.688975001</v>
      </c>
      <c r="C30" s="14">
        <f>'Get Rate for Iteration 8 '!$B$4</f>
        <v>0.15821960771477867</v>
      </c>
      <c r="D30" s="14">
        <f t="shared" si="3"/>
        <v>2.7959949996326259</v>
      </c>
      <c r="E30" s="16">
        <f t="shared" si="4"/>
        <v>4106501.5103688035</v>
      </c>
      <c r="F30" s="22">
        <f t="shared" si="5"/>
        <v>0.34189023822546005</v>
      </c>
      <c r="G30" s="14">
        <v>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00B0F0"/>
  </sheetPr>
  <dimension ref="A1:C8"/>
  <sheetViews>
    <sheetView workbookViewId="0">
      <selection activeCell="B4" sqref="B4"/>
    </sheetView>
  </sheetViews>
  <sheetFormatPr defaultRowHeight="12.75"/>
  <cols>
    <col min="2" max="2" width="18" bestFit="1" customWidth="1"/>
  </cols>
  <sheetData>
    <row r="1" spans="1:3">
      <c r="A1" s="1" t="s">
        <v>8</v>
      </c>
      <c r="B1" s="1"/>
    </row>
    <row r="2" spans="1:3">
      <c r="A2" s="1"/>
      <c r="B2" s="1"/>
    </row>
    <row r="3" spans="1:3">
      <c r="A3" s="1"/>
      <c r="B3" s="1"/>
    </row>
    <row r="4" spans="1:3">
      <c r="A4" s="9" t="s">
        <v>11</v>
      </c>
      <c r="B4" s="12">
        <f>B5-B7*(B5-B6)/(B7-B8)</f>
        <v>0.15821961619647662</v>
      </c>
      <c r="C4" s="1" t="s">
        <v>32</v>
      </c>
    </row>
    <row r="5" spans="1:3">
      <c r="A5" s="10" t="s">
        <v>9</v>
      </c>
      <c r="B5" s="1">
        <f>'Iteration 8 '!C2</f>
        <v>0.15821960771477867</v>
      </c>
      <c r="C5" s="1" t="s">
        <v>36</v>
      </c>
    </row>
    <row r="6" spans="1:3">
      <c r="A6" s="10" t="s">
        <v>10</v>
      </c>
      <c r="B6" s="1">
        <f>'Iteration 7 '!C2</f>
        <v>0.15821288575124823</v>
      </c>
      <c r="C6" s="1" t="s">
        <v>34</v>
      </c>
    </row>
    <row r="7" spans="1:3">
      <c r="A7" s="10" t="s">
        <v>12</v>
      </c>
      <c r="B7" s="6">
        <f>'Iteration 8 '!F30</f>
        <v>0.34189023822546005</v>
      </c>
      <c r="C7" s="1" t="s">
        <v>37</v>
      </c>
    </row>
    <row r="8" spans="1:3">
      <c r="A8" s="10" t="s">
        <v>13</v>
      </c>
      <c r="B8" s="5">
        <f>'Iteration 7 '!F30</f>
        <v>271.2986878589727</v>
      </c>
      <c r="C8" s="1" t="s">
        <v>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66FF33"/>
  </sheetPr>
  <dimension ref="A1:I30"/>
  <sheetViews>
    <sheetView workbookViewId="0">
      <selection activeCell="C2" sqref="C2"/>
    </sheetView>
  </sheetViews>
  <sheetFormatPr defaultRowHeight="12.75"/>
  <cols>
    <col min="1" max="1" width="10.140625" bestFit="1" customWidth="1"/>
    <col min="2" max="2" width="14.5703125" bestFit="1" customWidth="1"/>
    <col min="3" max="3" width="12" bestFit="1" customWidth="1"/>
    <col min="4" max="4" width="13.140625" bestFit="1" customWidth="1"/>
    <col min="5" max="5" width="14.5703125" bestFit="1" customWidth="1"/>
    <col min="6" max="6" width="19.140625" bestFit="1" customWidth="1"/>
    <col min="7" max="7" width="16" bestFit="1" customWidth="1"/>
    <col min="8" max="8" width="11.28515625" bestFit="1" customWidth="1"/>
  </cols>
  <sheetData>
    <row r="1" spans="1:9">
      <c r="A1" s="23"/>
      <c r="B1" s="23" t="s">
        <v>0</v>
      </c>
      <c r="C1" s="23" t="s">
        <v>4</v>
      </c>
      <c r="D1" s="23" t="s">
        <v>1</v>
      </c>
      <c r="E1" s="23" t="s">
        <v>2</v>
      </c>
      <c r="F1" s="23" t="s">
        <v>3</v>
      </c>
      <c r="G1" s="23" t="s">
        <v>14</v>
      </c>
    </row>
    <row r="2" spans="1:9">
      <c r="A2" s="26">
        <v>40130</v>
      </c>
      <c r="B2" s="3">
        <v>-10183896.199999999</v>
      </c>
      <c r="C2" s="23">
        <f>'Get Rate for Iteration 9 '!$B$4</f>
        <v>0.15821961619647662</v>
      </c>
      <c r="D2" s="23">
        <f>(1+C2)^G2</f>
        <v>1</v>
      </c>
      <c r="E2" s="24">
        <f>B2/D2</f>
        <v>-10183896.199999999</v>
      </c>
      <c r="F2" s="24">
        <f>E2</f>
        <v>-10183896.199999999</v>
      </c>
      <c r="G2" s="14">
        <f>1-1</f>
        <v>0</v>
      </c>
    </row>
    <row r="3" spans="1:9">
      <c r="A3" s="26">
        <v>40222</v>
      </c>
      <c r="B3" s="3">
        <v>361411.258975</v>
      </c>
      <c r="C3" s="23">
        <f>'Get Rate for Iteration 9 '!$B$4</f>
        <v>0.15821961619647662</v>
      </c>
      <c r="D3" s="23">
        <f t="shared" ref="D3:D8" si="0">(1+C3)^G3</f>
        <v>1.0374035481010366</v>
      </c>
      <c r="E3" s="24">
        <f>B3/D3</f>
        <v>348380.58886203152</v>
      </c>
      <c r="F3" s="24">
        <f>F2+E3</f>
        <v>-9835515.6111379676</v>
      </c>
      <c r="G3" s="14">
        <v>0.25</v>
      </c>
      <c r="H3" s="5" t="s">
        <v>5</v>
      </c>
    </row>
    <row r="4" spans="1:9">
      <c r="A4" s="26">
        <v>40311</v>
      </c>
      <c r="B4" s="3">
        <v>361411.258975</v>
      </c>
      <c r="C4" s="23">
        <f>'Get Rate for Iteration 9 '!$B$4</f>
        <v>0.15821961619647662</v>
      </c>
      <c r="D4" s="23">
        <f t="shared" si="0"/>
        <v>1.0762061216126195</v>
      </c>
      <c r="E4" s="24">
        <f t="shared" ref="E4:E8" si="1">B4/D4</f>
        <v>335819.73909742356</v>
      </c>
      <c r="F4" s="24">
        <f t="shared" ref="F4:F8" si="2">F3+E4</f>
        <v>-9499695.8720405437</v>
      </c>
      <c r="G4" s="14">
        <v>0.5</v>
      </c>
      <c r="H4" s="3" t="s">
        <v>5</v>
      </c>
    </row>
    <row r="5" spans="1:9">
      <c r="A5" s="26">
        <v>40403</v>
      </c>
      <c r="B5" s="3">
        <v>361411.258975</v>
      </c>
      <c r="C5" s="23">
        <f>'Get Rate for Iteration 9 '!$B$4</f>
        <v>0.15821961619647662</v>
      </c>
      <c r="D5" s="23">
        <f t="shared" si="0"/>
        <v>1.1164600490489873</v>
      </c>
      <c r="E5" s="24">
        <f t="shared" si="1"/>
        <v>323711.77032519347</v>
      </c>
      <c r="F5" s="24">
        <f t="shared" si="2"/>
        <v>-9175984.1017153505</v>
      </c>
      <c r="G5" s="14">
        <v>0.75</v>
      </c>
    </row>
    <row r="6" spans="1:9">
      <c r="A6" s="26">
        <v>40495</v>
      </c>
      <c r="B6" s="3">
        <v>361411.258975</v>
      </c>
      <c r="C6" s="23">
        <f>'Get Rate for Iteration 9 '!$B$4</f>
        <v>0.15821961619647662</v>
      </c>
      <c r="D6" s="23">
        <f t="shared" si="0"/>
        <v>1.1582196161964766</v>
      </c>
      <c r="E6" s="24">
        <f t="shared" si="1"/>
        <v>312040.35393723758</v>
      </c>
      <c r="F6" s="24">
        <f t="shared" si="2"/>
        <v>-8863943.7477781121</v>
      </c>
      <c r="G6" s="14">
        <v>1</v>
      </c>
    </row>
    <row r="7" spans="1:9">
      <c r="A7" s="26">
        <v>40587</v>
      </c>
      <c r="B7" s="3">
        <v>361411.258975</v>
      </c>
      <c r="C7" s="23">
        <f>'Get Rate for Iteration 9 '!$B$4</f>
        <v>0.15821961619647662</v>
      </c>
      <c r="D7" s="23">
        <f t="shared" si="0"/>
        <v>1.2015411393224456</v>
      </c>
      <c r="E7" s="24">
        <f t="shared" si="1"/>
        <v>300789.75005283748</v>
      </c>
      <c r="F7" s="24">
        <f t="shared" si="2"/>
        <v>-8563153.9977252744</v>
      </c>
      <c r="G7" s="14">
        <v>1.25</v>
      </c>
    </row>
    <row r="8" spans="1:9">
      <c r="A8" s="26">
        <v>40676</v>
      </c>
      <c r="B8" s="3">
        <v>361411.258975</v>
      </c>
      <c r="C8" s="23">
        <f>'Get Rate for Iteration 9 '!$B$4</f>
        <v>0.15821961619647662</v>
      </c>
      <c r="D8" s="23">
        <f t="shared" si="0"/>
        <v>1.246483041122467</v>
      </c>
      <c r="E8" s="24">
        <f t="shared" si="1"/>
        <v>289944.78629211558</v>
      </c>
      <c r="F8" s="24">
        <f t="shared" si="2"/>
        <v>-8273209.2114331592</v>
      </c>
      <c r="G8" s="14">
        <v>1.5</v>
      </c>
    </row>
    <row r="9" spans="1:9">
      <c r="A9" s="26">
        <v>40768</v>
      </c>
      <c r="B9" s="3">
        <v>361411.258975</v>
      </c>
      <c r="C9" s="23">
        <f>'Get Rate for Iteration 9 '!$B$4</f>
        <v>0.15821961619647662</v>
      </c>
      <c r="D9" s="23">
        <f t="shared" ref="D9:D30" si="3">(1+C9)^G9</f>
        <v>1.2931059295082175</v>
      </c>
      <c r="E9" s="24">
        <f t="shared" ref="E9:E30" si="4">B9/D9</f>
        <v>279490.83731481206</v>
      </c>
      <c r="F9" s="24">
        <f t="shared" ref="F9:F30" si="5">F8+E9</f>
        <v>-7993718.3741183467</v>
      </c>
      <c r="G9" s="14">
        <v>1.75</v>
      </c>
    </row>
    <row r="10" spans="1:9">
      <c r="A10" s="26">
        <v>40860</v>
      </c>
      <c r="B10" s="3">
        <v>361411.258975</v>
      </c>
      <c r="C10" s="23">
        <f>'Get Rate for Iteration 9 '!$B$4</f>
        <v>0.15821961619647662</v>
      </c>
      <c r="D10" s="23">
        <f t="shared" si="3"/>
        <v>1.3414726793423135</v>
      </c>
      <c r="E10" s="24">
        <f t="shared" si="4"/>
        <v>269413.80509679095</v>
      </c>
      <c r="F10" s="24">
        <f t="shared" si="5"/>
        <v>-7724304.5690215556</v>
      </c>
      <c r="G10" s="14">
        <v>2</v>
      </c>
    </row>
    <row r="11" spans="1:9">
      <c r="A11" s="26">
        <v>40952</v>
      </c>
      <c r="B11" s="3">
        <v>361411.258975</v>
      </c>
      <c r="C11" s="23">
        <f>'Get Rate for Iteration 9 '!$B$4</f>
        <v>0.15821961619647662</v>
      </c>
      <c r="D11" s="23">
        <f t="shared" si="3"/>
        <v>1.3916485172303201</v>
      </c>
      <c r="E11" s="24">
        <f t="shared" si="4"/>
        <v>259700.09991767615</v>
      </c>
      <c r="F11" s="24">
        <f t="shared" si="5"/>
        <v>-7464604.4691038793</v>
      </c>
      <c r="G11" s="14">
        <v>2.25</v>
      </c>
      <c r="H11" s="8"/>
      <c r="I11" s="8" t="s">
        <v>16</v>
      </c>
    </row>
    <row r="12" spans="1:9">
      <c r="A12" s="26">
        <v>41042</v>
      </c>
      <c r="B12" s="3">
        <v>361411.258975</v>
      </c>
      <c r="C12" s="23">
        <f>'Get Rate for Iteration 9 '!$B$4</f>
        <v>0.15821961619647662</v>
      </c>
      <c r="D12" s="23">
        <f t="shared" si="3"/>
        <v>1.4437011094842807</v>
      </c>
      <c r="E12" s="24">
        <f t="shared" si="4"/>
        <v>250336.62203397727</v>
      </c>
      <c r="F12" s="24">
        <f t="shared" si="5"/>
        <v>-7214267.8470699023</v>
      </c>
      <c r="G12" s="14">
        <v>2.5</v>
      </c>
    </row>
    <row r="13" spans="1:9">
      <c r="A13" s="26">
        <v>41134</v>
      </c>
      <c r="B13" s="3">
        <v>361411.258975</v>
      </c>
      <c r="C13" s="23">
        <f>'Get Rate for Iteration 9 '!$B$4</f>
        <v>0.15821961619647662</v>
      </c>
      <c r="D13" s="23">
        <f t="shared" si="3"/>
        <v>1.4977006533763957</v>
      </c>
      <c r="E13" s="24">
        <f t="shared" si="4"/>
        <v>241310.74401299047</v>
      </c>
      <c r="F13" s="24">
        <f t="shared" si="5"/>
        <v>-6972957.1030569123</v>
      </c>
      <c r="G13" s="14">
        <v>2.75</v>
      </c>
    </row>
    <row r="14" spans="1:9">
      <c r="A14" s="26">
        <v>41226</v>
      </c>
      <c r="B14" s="3">
        <v>361411.258975</v>
      </c>
      <c r="C14" s="23">
        <f>'Get Rate for Iteration 9 '!$B$4</f>
        <v>0.15821961619647662</v>
      </c>
      <c r="D14" s="23">
        <f t="shared" si="3"/>
        <v>1.5537199718059136</v>
      </c>
      <c r="E14" s="24">
        <f t="shared" si="4"/>
        <v>232610.29370364978</v>
      </c>
      <c r="F14" s="24">
        <f t="shared" si="5"/>
        <v>-6740346.8093532622</v>
      </c>
      <c r="G14" s="14">
        <v>3</v>
      </c>
    </row>
    <row r="15" spans="1:9">
      <c r="A15" s="26">
        <v>41318</v>
      </c>
      <c r="B15" s="3">
        <v>361411.258975</v>
      </c>
      <c r="C15" s="23">
        <f>'Get Rate for Iteration 9 '!$B$4</f>
        <v>0.15821961619647662</v>
      </c>
      <c r="D15" s="23">
        <f t="shared" si="3"/>
        <v>1.6118346115068973</v>
      </c>
      <c r="E15" s="24">
        <f t="shared" si="4"/>
        <v>224223.5378213638</v>
      </c>
      <c r="F15" s="24">
        <f t="shared" si="5"/>
        <v>-6516123.2715318985</v>
      </c>
      <c r="G15" s="14">
        <v>3.25</v>
      </c>
    </row>
    <row r="16" spans="1:9">
      <c r="A16" s="26">
        <v>41407</v>
      </c>
      <c r="B16" s="3">
        <v>361411.258975</v>
      </c>
      <c r="C16" s="23">
        <f>'Get Rate for Iteration 9 '!$B$4</f>
        <v>0.15821961619647662</v>
      </c>
      <c r="D16" s="23">
        <f t="shared" si="3"/>
        <v>1.6721229449293111</v>
      </c>
      <c r="E16" s="24">
        <f t="shared" si="4"/>
        <v>216139.16612470063</v>
      </c>
      <c r="F16" s="24">
        <f t="shared" si="5"/>
        <v>-6299984.105407198</v>
      </c>
      <c r="G16" s="14">
        <v>3.5</v>
      </c>
    </row>
    <row r="17" spans="1:7">
      <c r="A17" s="26">
        <v>41499</v>
      </c>
      <c r="B17" s="3">
        <v>361411.258975</v>
      </c>
      <c r="C17" s="23">
        <f>'Get Rate for Iteration 9 '!$B$4</f>
        <v>0.15821961619647662</v>
      </c>
      <c r="D17" s="23">
        <f t="shared" si="3"/>
        <v>1.7346662759308216</v>
      </c>
      <c r="E17" s="24">
        <f t="shared" si="4"/>
        <v>208346.27616258163</v>
      </c>
      <c r="F17" s="24">
        <f t="shared" si="5"/>
        <v>-6091637.8292446164</v>
      </c>
      <c r="G17" s="14">
        <v>3.75</v>
      </c>
    </row>
    <row r="18" spans="1:7">
      <c r="A18" s="26">
        <v>41591</v>
      </c>
      <c r="B18" s="3">
        <v>361411.258975</v>
      </c>
      <c r="C18" s="23">
        <f>'Get Rate for Iteration 9 '!$B$4</f>
        <v>0.15821961619647662</v>
      </c>
      <c r="D18" s="23">
        <f t="shared" si="3"/>
        <v>1.7995489494218455</v>
      </c>
      <c r="E18" s="24">
        <f t="shared" si="4"/>
        <v>200834.35857141495</v>
      </c>
      <c r="F18" s="24">
        <f t="shared" si="5"/>
        <v>-5890803.4706732016</v>
      </c>
      <c r="G18" s="14">
        <v>4</v>
      </c>
    </row>
    <row r="19" spans="1:7">
      <c r="A19" s="26">
        <v>41683</v>
      </c>
      <c r="B19" s="3">
        <v>361411.258975</v>
      </c>
      <c r="C19" s="23">
        <f>'Get Rate for Iteration 9 '!$B$4</f>
        <v>0.15821961619647662</v>
      </c>
      <c r="D19" s="23">
        <f t="shared" si="3"/>
        <v>1.8668584651117155</v>
      </c>
      <c r="E19" s="24">
        <f t="shared" si="4"/>
        <v>193593.28290233971</v>
      </c>
      <c r="F19" s="24">
        <f t="shared" si="5"/>
        <v>-5697210.1877708621</v>
      </c>
      <c r="G19" s="14">
        <v>4.25</v>
      </c>
    </row>
    <row r="20" spans="1:7">
      <c r="A20" s="26">
        <v>41772</v>
      </c>
      <c r="B20" s="3">
        <v>361411.258975</v>
      </c>
      <c r="C20" s="23">
        <f>'Get Rate for Iteration 9 '!$B$4</f>
        <v>0.15821961619647662</v>
      </c>
      <c r="D20" s="23">
        <f t="shared" si="3"/>
        <v>1.9366855955093487</v>
      </c>
      <c r="E20" s="24">
        <f t="shared" si="4"/>
        <v>186613.28395946929</v>
      </c>
      <c r="F20" s="24">
        <f t="shared" si="5"/>
        <v>-5510596.9038113933</v>
      </c>
      <c r="G20" s="14">
        <v>4.5</v>
      </c>
    </row>
    <row r="21" spans="1:7">
      <c r="A21" s="26">
        <v>41864</v>
      </c>
      <c r="B21" s="3">
        <v>361411.258975</v>
      </c>
      <c r="C21" s="23">
        <f>'Get Rate for Iteration 9 '!$B$4</f>
        <v>0.15821961619647662</v>
      </c>
      <c r="D21" s="23">
        <f t="shared" si="3"/>
        <v>2.0091245083375675</v>
      </c>
      <c r="E21" s="24">
        <f t="shared" si="4"/>
        <v>179884.9486307081</v>
      </c>
      <c r="F21" s="24">
        <f t="shared" si="5"/>
        <v>-5330711.955180685</v>
      </c>
      <c r="G21" s="14">
        <v>4.75</v>
      </c>
    </row>
    <row r="22" spans="1:7">
      <c r="A22" s="26">
        <v>41956</v>
      </c>
      <c r="B22" s="3">
        <v>361411.258975</v>
      </c>
      <c r="C22" s="23">
        <f>'Get Rate for Iteration 9 '!$B$4</f>
        <v>0.15821961619647662</v>
      </c>
      <c r="D22" s="23">
        <f t="shared" si="3"/>
        <v>2.0842728935261428</v>
      </c>
      <c r="E22" s="24">
        <f t="shared" si="4"/>
        <v>173399.20319338303</v>
      </c>
      <c r="F22" s="24">
        <f t="shared" si="5"/>
        <v>-5157312.7519873017</v>
      </c>
      <c r="G22" s="14">
        <v>5</v>
      </c>
    </row>
    <row r="23" spans="1:7">
      <c r="A23" s="26">
        <v>42048</v>
      </c>
      <c r="B23" s="3">
        <v>361411.258975</v>
      </c>
      <c r="C23" s="23">
        <f>'Get Rate for Iteration 9 '!$B$4</f>
        <v>0.15821961619647662</v>
      </c>
      <c r="D23" s="23">
        <f t="shared" si="3"/>
        <v>2.1622320949548346</v>
      </c>
      <c r="E23" s="24">
        <f t="shared" si="4"/>
        <v>167147.30107756969</v>
      </c>
      <c r="F23" s="24">
        <f t="shared" si="5"/>
        <v>-4990165.4509097319</v>
      </c>
      <c r="G23" s="14">
        <v>5.25</v>
      </c>
    </row>
    <row r="24" spans="1:7">
      <c r="A24" s="26">
        <v>42137</v>
      </c>
      <c r="B24" s="3">
        <v>361411.258975</v>
      </c>
      <c r="C24" s="23">
        <f>'Get Rate for Iteration 9 '!$B$4</f>
        <v>0.15821961619647662</v>
      </c>
      <c r="D24" s="23">
        <f t="shared" si="3"/>
        <v>2.2431072471240827</v>
      </c>
      <c r="E24" s="24">
        <f t="shared" si="4"/>
        <v>161120.81107061205</v>
      </c>
      <c r="F24" s="24">
        <f t="shared" si="5"/>
        <v>-4829044.6398391202</v>
      </c>
      <c r="G24" s="14">
        <v>5.5</v>
      </c>
    </row>
    <row r="25" spans="1:7">
      <c r="A25" s="26">
        <v>42229</v>
      </c>
      <c r="B25" s="3">
        <v>361411.258975</v>
      </c>
      <c r="C25" s="23">
        <f>'Get Rate for Iteration 9 '!$B$4</f>
        <v>0.15821961619647662</v>
      </c>
      <c r="D25" s="23">
        <f t="shared" si="3"/>
        <v>2.327007416937672</v>
      </c>
      <c r="E25" s="24">
        <f t="shared" si="4"/>
        <v>155311.60594692692</v>
      </c>
      <c r="F25" s="24">
        <f t="shared" si="5"/>
        <v>-4673733.0338921929</v>
      </c>
      <c r="G25" s="14">
        <v>5.75</v>
      </c>
    </row>
    <row r="26" spans="1:7">
      <c r="A26" s="26">
        <v>42321</v>
      </c>
      <c r="B26" s="3">
        <v>361411.258975</v>
      </c>
      <c r="C26" s="23">
        <f>'Get Rate for Iteration 9 '!$B$4</f>
        <v>0.15821961619647662</v>
      </c>
      <c r="D26" s="23">
        <f t="shared" si="3"/>
        <v>2.4140457507885684</v>
      </c>
      <c r="E26" s="24">
        <f t="shared" si="4"/>
        <v>149711.85150776117</v>
      </c>
      <c r="F26" s="24">
        <f t="shared" si="5"/>
        <v>-4524021.1823844314</v>
      </c>
      <c r="G26" s="14">
        <v>6</v>
      </c>
    </row>
    <row r="27" spans="1:7">
      <c r="A27" s="26">
        <v>42413</v>
      </c>
      <c r="B27" s="3">
        <v>361411.258975</v>
      </c>
      <c r="C27" s="23">
        <f>'Get Rate for Iteration 9 '!$B$4</f>
        <v>0.15821961619647662</v>
      </c>
      <c r="D27" s="23">
        <f t="shared" si="3"/>
        <v>2.5043396271462925</v>
      </c>
      <c r="E27" s="24">
        <f t="shared" si="4"/>
        <v>144313.9960161194</v>
      </c>
      <c r="F27" s="24">
        <f t="shared" si="5"/>
        <v>-4379707.1863683118</v>
      </c>
      <c r="G27" s="14">
        <v>6.25</v>
      </c>
    </row>
    <row r="28" spans="1:7">
      <c r="A28" s="26">
        <v>42503</v>
      </c>
      <c r="B28" s="3">
        <v>361411.258975</v>
      </c>
      <c r="C28" s="23">
        <f>'Get Rate for Iteration 9 '!$B$4</f>
        <v>0.15821961619647662</v>
      </c>
      <c r="D28" s="23">
        <f t="shared" si="3"/>
        <v>2.5980108148515906</v>
      </c>
      <c r="E28" s="24">
        <f t="shared" si="4"/>
        <v>139110.76001261579</v>
      </c>
      <c r="F28" s="24">
        <f t="shared" si="5"/>
        <v>-4240596.4263556963</v>
      </c>
      <c r="G28" s="14">
        <v>6.5</v>
      </c>
    </row>
    <row r="29" spans="1:7">
      <c r="A29" s="26">
        <v>42595</v>
      </c>
      <c r="B29" s="3">
        <v>361411.258975</v>
      </c>
      <c r="C29" s="23">
        <f>'Get Rate for Iteration 9 '!$B$4</f>
        <v>0.15821961619647662</v>
      </c>
      <c r="D29" s="23">
        <f t="shared" si="3"/>
        <v>2.695185637331905</v>
      </c>
      <c r="E29" s="24">
        <f t="shared" si="4"/>
        <v>134095.12649851406</v>
      </c>
      <c r="F29" s="24">
        <f t="shared" si="5"/>
        <v>-4106501.2998571824</v>
      </c>
      <c r="G29" s="14">
        <v>6.75</v>
      </c>
    </row>
    <row r="30" spans="1:7">
      <c r="A30" s="26">
        <v>42687</v>
      </c>
      <c r="B30" s="3">
        <v>11481757.688975001</v>
      </c>
      <c r="C30" s="23">
        <f>'Get Rate for Iteration 9 '!$B$4</f>
        <v>0.15821961619647662</v>
      </c>
      <c r="D30" s="23">
        <f t="shared" si="3"/>
        <v>2.7959951429590713</v>
      </c>
      <c r="E30" s="24">
        <f t="shared" si="4"/>
        <v>4106501.2998640514</v>
      </c>
      <c r="F30" s="25">
        <f t="shared" si="5"/>
        <v>6.8689696490764618E-6</v>
      </c>
      <c r="G30" s="14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Terms </vt:lpstr>
      <vt:lpstr>XIRR </vt:lpstr>
      <vt:lpstr>Carry Value Proof </vt:lpstr>
      <vt:lpstr>Iteration 1</vt:lpstr>
      <vt:lpstr>Iteration 2 </vt:lpstr>
      <vt:lpstr>Iteration 3 </vt:lpstr>
      <vt:lpstr>Get Rate for Iteration 4</vt:lpstr>
      <vt:lpstr>Iteration 4 </vt:lpstr>
      <vt:lpstr>Get Rate for Iteration 5</vt:lpstr>
      <vt:lpstr>Iteration 5 </vt:lpstr>
      <vt:lpstr>Get Rate for Iteration 6</vt:lpstr>
      <vt:lpstr>Iteration 6</vt:lpstr>
      <vt:lpstr>Get Rate for Iteration 7 </vt:lpstr>
      <vt:lpstr>Iteration 7 </vt:lpstr>
      <vt:lpstr>Get Rate for Iteration 8 </vt:lpstr>
      <vt:lpstr>Iteration 8 </vt:lpstr>
      <vt:lpstr>Get Rate for Iteration 9 </vt:lpstr>
      <vt:lpstr>Iteration 9 </vt:lpstr>
    </vt:vector>
  </TitlesOfParts>
  <Company>JPMorgan Chase &amp; Co.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Netzband</dc:creator>
  <cp:lastModifiedBy>Fred Netzband</cp:lastModifiedBy>
  <dcterms:created xsi:type="dcterms:W3CDTF">2010-07-23T21:28:55Z</dcterms:created>
  <dcterms:modified xsi:type="dcterms:W3CDTF">2011-03-01T20:42:47Z</dcterms:modified>
</cp:coreProperties>
</file>