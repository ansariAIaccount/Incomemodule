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5195" windowHeight="9465" tabRatio="831"/>
  </bookViews>
  <sheets>
    <sheet name="Terms " sheetId="18" r:id="rId1"/>
    <sheet name="Iteration 1" sheetId="2" r:id="rId2"/>
    <sheet name="Iteration 2" sheetId="22" r:id="rId3"/>
    <sheet name="Iteration 3" sheetId="23" r:id="rId4"/>
    <sheet name="Get Rate for Iteration 4" sheetId="10" r:id="rId5"/>
    <sheet name="Iteration 4 " sheetId="24" r:id="rId6"/>
    <sheet name="Get Rate for Iteration 5" sheetId="26" r:id="rId7"/>
    <sheet name="Iteration 5" sheetId="27" r:id="rId8"/>
    <sheet name="Get Rate for Iteration 6" sheetId="28" r:id="rId9"/>
    <sheet name="Iteration 6" sheetId="29" r:id="rId10"/>
    <sheet name="Get Rate for Iteration 7 " sheetId="30" r:id="rId11"/>
    <sheet name="Iteration 7 " sheetId="31" r:id="rId12"/>
    <sheet name="Get Rate for Iteration 8 " sheetId="32" r:id="rId13"/>
    <sheet name="Iteration 8 " sheetId="33" r:id="rId14"/>
    <sheet name="Get Rate for Iteration 9 " sheetId="34" r:id="rId15"/>
    <sheet name="Iteration 9 " sheetId="35" r:id="rId16"/>
    <sheet name="Get Rate for Iteration 10 " sheetId="36" r:id="rId17"/>
    <sheet name="Iteration 10 " sheetId="37" r:id="rId18"/>
    <sheet name="XIRR " sheetId="16" r:id="rId19"/>
    <sheet name="Carry Value Proof " sheetId="21" r:id="rId20"/>
  </sheets>
  <calcPr calcId="145621"/>
</workbook>
</file>

<file path=xl/calcChain.xml><?xml version="1.0" encoding="utf-8"?>
<calcChain xmlns="http://schemas.openxmlformats.org/spreadsheetml/2006/main">
  <c r="H3" i="35" l="1"/>
  <c r="B4" i="18"/>
  <c r="G34" i="35"/>
  <c r="G34" i="33"/>
  <c r="G34" i="31"/>
  <c r="G34" i="29"/>
  <c r="G34" i="27"/>
  <c r="G34" i="24"/>
  <c r="E8" i="37"/>
  <c r="B8" i="37"/>
  <c r="E7" i="37"/>
  <c r="B7" i="37"/>
  <c r="E6" i="37"/>
  <c r="B6" i="37"/>
  <c r="E5" i="37"/>
  <c r="B5" i="37"/>
  <c r="E4" i="37"/>
  <c r="B4" i="37"/>
  <c r="E3" i="37"/>
  <c r="B3" i="37"/>
  <c r="E8" i="35"/>
  <c r="B8" i="35"/>
  <c r="E7" i="35"/>
  <c r="B7" i="35"/>
  <c r="E6" i="35"/>
  <c r="B6" i="35"/>
  <c r="E5" i="35"/>
  <c r="B5" i="35"/>
  <c r="E4" i="35"/>
  <c r="B4" i="35"/>
  <c r="E3" i="35"/>
  <c r="B3" i="35"/>
  <c r="E8" i="33"/>
  <c r="B8" i="33"/>
  <c r="E7" i="33"/>
  <c r="B7" i="33"/>
  <c r="E6" i="33"/>
  <c r="B6" i="33"/>
  <c r="E5" i="33"/>
  <c r="B5" i="33"/>
  <c r="E4" i="33"/>
  <c r="B4" i="33"/>
  <c r="E3" i="33"/>
  <c r="B3" i="33"/>
  <c r="E8" i="31"/>
  <c r="B8" i="31"/>
  <c r="E7" i="31"/>
  <c r="B7" i="31"/>
  <c r="E6" i="31"/>
  <c r="B6" i="31"/>
  <c r="E5" i="31"/>
  <c r="B5" i="31"/>
  <c r="E4" i="31"/>
  <c r="B4" i="31"/>
  <c r="E3" i="31"/>
  <c r="B3" i="31"/>
  <c r="E8" i="29"/>
  <c r="B8" i="29"/>
  <c r="E7" i="29"/>
  <c r="B7" i="29"/>
  <c r="E6" i="29"/>
  <c r="B6" i="29"/>
  <c r="E5" i="29"/>
  <c r="B5" i="29"/>
  <c r="E4" i="29"/>
  <c r="B4" i="29"/>
  <c r="E3" i="29"/>
  <c r="B3" i="29"/>
  <c r="E8" i="27"/>
  <c r="B8" i="27"/>
  <c r="E7" i="27"/>
  <c r="B7" i="27"/>
  <c r="E6" i="27"/>
  <c r="B6" i="27"/>
  <c r="E5" i="27"/>
  <c r="B5" i="27"/>
  <c r="E4" i="27"/>
  <c r="B4" i="27"/>
  <c r="E3" i="27"/>
  <c r="B3" i="27"/>
  <c r="E8" i="24"/>
  <c r="B8" i="24"/>
  <c r="E7" i="24"/>
  <c r="B7" i="24"/>
  <c r="E6" i="24"/>
  <c r="B6" i="24"/>
  <c r="E5" i="24"/>
  <c r="B5" i="24"/>
  <c r="E4" i="24"/>
  <c r="B4" i="24"/>
  <c r="E3" i="24"/>
  <c r="B3" i="24"/>
  <c r="G34" i="23"/>
  <c r="E8" i="23"/>
  <c r="B8" i="23"/>
  <c r="E7" i="23"/>
  <c r="B7" i="23"/>
  <c r="E6" i="23"/>
  <c r="B6" i="23"/>
  <c r="E5" i="23"/>
  <c r="B5" i="23"/>
  <c r="E4" i="23"/>
  <c r="B4" i="23"/>
  <c r="E3" i="23"/>
  <c r="B3" i="23"/>
  <c r="G34" i="22"/>
  <c r="E8" i="22"/>
  <c r="B8" i="22"/>
  <c r="E7" i="22"/>
  <c r="B7" i="22"/>
  <c r="E6" i="22"/>
  <c r="B6" i="22"/>
  <c r="E5" i="22"/>
  <c r="B5" i="22"/>
  <c r="E4" i="22"/>
  <c r="B4" i="22"/>
  <c r="E3" i="22"/>
  <c r="B3" i="22"/>
  <c r="G34" i="2"/>
  <c r="E8" i="2"/>
  <c r="H2" i="22"/>
  <c r="G3" i="22"/>
  <c r="H3" i="22" s="1"/>
  <c r="H2" i="23"/>
  <c r="G3" i="23"/>
  <c r="H3" i="23" s="1"/>
  <c r="E7" i="2"/>
  <c r="E6" i="2"/>
  <c r="E5" i="2"/>
  <c r="E4" i="2"/>
  <c r="E3" i="2"/>
  <c r="B8" i="2"/>
  <c r="B7" i="2"/>
  <c r="B6" i="2"/>
  <c r="B5" i="2"/>
  <c r="B4" i="2"/>
  <c r="B3" i="2"/>
  <c r="E3" i="18"/>
  <c r="B6" i="26"/>
  <c r="G3" i="2"/>
  <c r="H3" i="2" s="1"/>
  <c r="H2" i="2"/>
  <c r="H2" i="37"/>
  <c r="H2" i="35"/>
  <c r="H2" i="33"/>
  <c r="H2" i="31"/>
  <c r="H2" i="29"/>
  <c r="H2" i="27"/>
  <c r="H2" i="24"/>
  <c r="N3" i="21"/>
  <c r="O4" i="21" s="1"/>
  <c r="M4" i="21" s="1"/>
  <c r="E3" i="21"/>
  <c r="F4" i="21"/>
  <c r="D4" i="21"/>
  <c r="F5" i="21"/>
  <c r="D5" i="21" s="1"/>
  <c r="B8" i="18"/>
  <c r="C2" i="16"/>
  <c r="G4" i="22" l="1"/>
  <c r="H4" i="22" s="1"/>
  <c r="G4" i="23"/>
  <c r="H4" i="23" s="1"/>
  <c r="G4" i="2"/>
  <c r="H4" i="2" s="1"/>
  <c r="G5" i="2" s="1"/>
  <c r="H5" i="2" s="1"/>
  <c r="D6" i="21"/>
  <c r="F6" i="21"/>
  <c r="O5" i="21"/>
  <c r="G5" i="22" l="1"/>
  <c r="H5" i="22" s="1"/>
  <c r="G5" i="23"/>
  <c r="H5" i="23" s="1"/>
  <c r="G6" i="2"/>
  <c r="H6" i="2" s="1"/>
  <c r="F7" i="21"/>
  <c r="D7" i="21"/>
  <c r="M5" i="21"/>
  <c r="G6" i="22" l="1"/>
  <c r="H6" i="22" s="1"/>
  <c r="G6" i="23"/>
  <c r="H6" i="23" s="1"/>
  <c r="F8" i="21"/>
  <c r="G7" i="2"/>
  <c r="H7" i="2" s="1"/>
  <c r="O6" i="21"/>
  <c r="G7" i="22" l="1"/>
  <c r="H7" i="22" s="1"/>
  <c r="G7" i="23"/>
  <c r="H7" i="23" s="1"/>
  <c r="G8" i="2"/>
  <c r="H8" i="2" s="1"/>
  <c r="M6" i="21"/>
  <c r="D8" i="21"/>
  <c r="G8" i="22" l="1"/>
  <c r="H8" i="22" s="1"/>
  <c r="G8" i="23"/>
  <c r="H8" i="23" s="1"/>
  <c r="M7" i="21"/>
  <c r="O7" i="21"/>
  <c r="F9" i="21"/>
  <c r="O8" i="21" l="1"/>
  <c r="M8" i="21"/>
  <c r="D9" i="21"/>
  <c r="O9" i="21" l="1"/>
  <c r="M9" i="21" s="1"/>
  <c r="F10" i="21"/>
  <c r="D10" i="21" s="1"/>
  <c r="M10" i="21" l="1"/>
  <c r="O10" i="21"/>
  <c r="F11" i="21"/>
  <c r="D11" i="21" s="1"/>
  <c r="F12" i="21" l="1"/>
  <c r="D12" i="21" s="1"/>
  <c r="M11" i="21"/>
  <c r="O11" i="21"/>
  <c r="F13" i="21" l="1"/>
  <c r="D13" i="21" s="1"/>
  <c r="M12" i="21"/>
  <c r="O12" i="21"/>
  <c r="F14" i="21" l="1"/>
  <c r="D14" i="21" s="1"/>
  <c r="M13" i="21"/>
  <c r="O13" i="21"/>
  <c r="F15" i="21" l="1"/>
  <c r="D15" i="21" s="1"/>
  <c r="M14" i="21"/>
  <c r="O14" i="21"/>
  <c r="F16" i="21" l="1"/>
  <c r="D16" i="21" s="1"/>
  <c r="M15" i="21"/>
  <c r="O15" i="21"/>
  <c r="F17" i="21" l="1"/>
  <c r="D17" i="21" s="1"/>
  <c r="M16" i="21"/>
  <c r="O16" i="21"/>
  <c r="D18" i="21" l="1"/>
  <c r="F18" i="21"/>
  <c r="M17" i="21"/>
  <c r="O17" i="21"/>
  <c r="M18" i="21" l="1"/>
  <c r="O18" i="21"/>
  <c r="D19" i="21"/>
  <c r="F19" i="21"/>
  <c r="D20" i="21" l="1"/>
  <c r="F20" i="21"/>
  <c r="O19" i="21"/>
  <c r="M19" i="21" s="1"/>
  <c r="O20" i="21" l="1"/>
  <c r="M20" i="21" s="1"/>
  <c r="D21" i="21"/>
  <c r="F21" i="21"/>
  <c r="O21" i="21" l="1"/>
  <c r="M21" i="21" s="1"/>
  <c r="D22" i="21"/>
  <c r="F22" i="21"/>
  <c r="O22" i="21" l="1"/>
  <c r="M22" i="21" s="1"/>
  <c r="D23" i="21"/>
  <c r="F23" i="21"/>
  <c r="O23" i="21" l="1"/>
  <c r="M23" i="21" s="1"/>
  <c r="D24" i="21"/>
  <c r="F24" i="21"/>
  <c r="O24" i="21" l="1"/>
  <c r="M24" i="21" s="1"/>
  <c r="D25" i="21"/>
  <c r="F25" i="21"/>
  <c r="O25" i="21" l="1"/>
  <c r="M25" i="21" s="1"/>
  <c r="D26" i="21"/>
  <c r="F26" i="21"/>
  <c r="O26" i="21" l="1"/>
  <c r="M26" i="21" s="1"/>
  <c r="F27" i="21"/>
  <c r="D27" i="21" s="1"/>
  <c r="F28" i="21" l="1"/>
  <c r="D28" i="21" s="1"/>
  <c r="O27" i="21"/>
  <c r="M27" i="21" s="1"/>
  <c r="D29" i="21" l="1"/>
  <c r="F29" i="21"/>
  <c r="O28" i="21"/>
  <c r="M28" i="21" s="1"/>
  <c r="B7" i="10"/>
  <c r="B8" i="26"/>
  <c r="M29" i="21" l="1"/>
  <c r="O29" i="21"/>
  <c r="B8" i="10"/>
  <c r="B4" i="10" s="1"/>
  <c r="F30" i="21"/>
  <c r="D30" i="21" s="1"/>
  <c r="F2" i="24" l="1"/>
  <c r="F3" i="24"/>
  <c r="G3" i="24" s="1"/>
  <c r="H3" i="24" s="1"/>
  <c r="F5" i="24"/>
  <c r="F7" i="24"/>
  <c r="F4" i="24"/>
  <c r="F6" i="24"/>
  <c r="F8" i="24"/>
  <c r="F31" i="21"/>
  <c r="F32" i="21" s="1"/>
  <c r="D31" i="21"/>
  <c r="O30" i="21"/>
  <c r="M30" i="21" s="1"/>
  <c r="M31" i="21" l="1"/>
  <c r="O31" i="21"/>
  <c r="O32" i="21" s="1"/>
  <c r="B5" i="26"/>
  <c r="B6" i="28"/>
  <c r="G4" i="24"/>
  <c r="H4" i="24" s="1"/>
  <c r="G5" i="24" l="1"/>
  <c r="H5" i="24" s="1"/>
  <c r="G6" i="24" l="1"/>
  <c r="H6" i="24" s="1"/>
  <c r="G7" i="24" l="1"/>
  <c r="H7" i="24" s="1"/>
  <c r="G8" i="24" l="1"/>
  <c r="H8" i="24" s="1"/>
  <c r="B7" i="26" l="1"/>
  <c r="B4" i="26" s="1"/>
  <c r="B8" i="28"/>
  <c r="F4" i="27" l="1"/>
  <c r="F6" i="27"/>
  <c r="F8" i="27"/>
  <c r="F2" i="27"/>
  <c r="F3" i="27"/>
  <c r="G3" i="27" s="1"/>
  <c r="H3" i="27" s="1"/>
  <c r="F5" i="27"/>
  <c r="F7" i="27"/>
  <c r="G4" i="27" l="1"/>
  <c r="H4" i="27" s="1"/>
  <c r="B5" i="28"/>
  <c r="B6" i="30"/>
  <c r="G5" i="27" l="1"/>
  <c r="H5" i="27" s="1"/>
  <c r="G6" i="27" l="1"/>
  <c r="H6" i="27" s="1"/>
  <c r="G7" i="27" l="1"/>
  <c r="H7" i="27" s="1"/>
  <c r="G8" i="27" l="1"/>
  <c r="H8" i="27" s="1"/>
  <c r="B8" i="30" l="1"/>
  <c r="B7" i="28"/>
  <c r="B4" i="28" s="1"/>
  <c r="F4" i="29" l="1"/>
  <c r="F6" i="29"/>
  <c r="F8" i="29"/>
  <c r="F2" i="29"/>
  <c r="F3" i="29"/>
  <c r="G3" i="29" s="1"/>
  <c r="H3" i="29" s="1"/>
  <c r="F5" i="29"/>
  <c r="F7" i="29"/>
  <c r="B5" i="30" l="1"/>
  <c r="B6" i="32"/>
  <c r="G4" i="29"/>
  <c r="H4" i="29" s="1"/>
  <c r="G5" i="29" l="1"/>
  <c r="H5" i="29" s="1"/>
  <c r="G6" i="29" l="1"/>
  <c r="H6" i="29" s="1"/>
  <c r="G7" i="29" l="1"/>
  <c r="H7" i="29" s="1"/>
  <c r="G8" i="29" l="1"/>
  <c r="H8" i="29" s="1"/>
  <c r="B7" i="30" l="1"/>
  <c r="B4" i="30" s="1"/>
  <c r="B8" i="32"/>
  <c r="F2" i="31" l="1"/>
  <c r="F3" i="31"/>
  <c r="G3" i="31" s="1"/>
  <c r="H3" i="31" s="1"/>
  <c r="F5" i="31"/>
  <c r="F7" i="31"/>
  <c r="F4" i="31"/>
  <c r="F6" i="31"/>
  <c r="F8" i="31"/>
  <c r="B5" i="32" l="1"/>
  <c r="B6" i="34"/>
  <c r="G4" i="31"/>
  <c r="H4" i="31" s="1"/>
  <c r="G5" i="31" l="1"/>
  <c r="H5" i="31" s="1"/>
  <c r="G6" i="31" l="1"/>
  <c r="H6" i="31" s="1"/>
  <c r="G7" i="31" l="1"/>
  <c r="H7" i="31" s="1"/>
  <c r="G8" i="31" l="1"/>
  <c r="H8" i="31" s="1"/>
  <c r="B8" i="34" l="1"/>
  <c r="B7" i="32"/>
  <c r="B4" i="32" s="1"/>
  <c r="F4" i="33" l="1"/>
  <c r="F6" i="33"/>
  <c r="F8" i="33"/>
  <c r="F2" i="33"/>
  <c r="F3" i="33"/>
  <c r="G3" i="33" s="1"/>
  <c r="H3" i="33" s="1"/>
  <c r="F5" i="33"/>
  <c r="F7" i="33"/>
  <c r="B5" i="34" l="1"/>
  <c r="B6" i="36"/>
  <c r="G4" i="33"/>
  <c r="H4" i="33" s="1"/>
  <c r="G5" i="33" l="1"/>
  <c r="H5" i="33" s="1"/>
  <c r="G6" i="33" l="1"/>
  <c r="H6" i="33" s="1"/>
  <c r="G7" i="33" l="1"/>
  <c r="H7" i="33" s="1"/>
  <c r="G8" i="33" l="1"/>
  <c r="H8" i="33" s="1"/>
  <c r="B7" i="34" l="1"/>
  <c r="B4" i="34" s="1"/>
  <c r="B8" i="36"/>
  <c r="F2" i="35" l="1"/>
  <c r="B5" i="36" s="1"/>
  <c r="F3" i="35"/>
  <c r="G3" i="35" s="1"/>
  <c r="F5" i="35"/>
  <c r="F7" i="35"/>
  <c r="F4" i="35"/>
  <c r="F6" i="35"/>
  <c r="F8" i="35"/>
  <c r="G4" i="35" l="1"/>
  <c r="H4" i="35" s="1"/>
  <c r="G5" i="35" l="1"/>
  <c r="H5" i="35" s="1"/>
  <c r="G6" i="35" l="1"/>
  <c r="H6" i="35" s="1"/>
  <c r="G7" i="35" l="1"/>
  <c r="H7" i="35" s="1"/>
  <c r="G8" i="35" l="1"/>
  <c r="H8" i="35" s="1"/>
  <c r="B7" i="36" l="1"/>
  <c r="B4" i="36" s="1"/>
  <c r="F4" i="37" l="1"/>
  <c r="F6" i="37"/>
  <c r="F8" i="37"/>
  <c r="F3" i="37"/>
  <c r="G3" i="37" s="1"/>
  <c r="H3" i="37" s="1"/>
  <c r="F5" i="37"/>
  <c r="F7" i="37"/>
  <c r="F2" i="37"/>
  <c r="G4" i="37" l="1"/>
  <c r="H4" i="37" s="1"/>
  <c r="G5" i="37" l="1"/>
  <c r="H5" i="37" s="1"/>
  <c r="G6" i="37" l="1"/>
  <c r="H6" i="37" s="1"/>
  <c r="G7" i="37" l="1"/>
  <c r="H7" i="37" s="1"/>
  <c r="G8" i="37" l="1"/>
  <c r="H8" i="37" s="1"/>
  <c r="G34" i="37" s="1"/>
</calcChain>
</file>

<file path=xl/comments1.xml><?xml version="1.0" encoding="utf-8"?>
<comments xmlns="http://schemas.openxmlformats.org/spreadsheetml/2006/main">
  <authors>
    <author>Fred Netzband</author>
  </authors>
  <commentList>
    <comment ref="E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Rate from AT
IRR Function 
</t>
        </r>
      </text>
    </comment>
    <comment ref="N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Rate from Interest AT PRICE functoin 
</t>
        </r>
      </text>
    </comment>
    <comment ref="M3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Discount Fully Amortized Carry Value = Face Value
</t>
        </r>
      </text>
    </comment>
  </commentList>
</comments>
</file>

<file path=xl/sharedStrings.xml><?xml version="1.0" encoding="utf-8"?>
<sst xmlns="http://schemas.openxmlformats.org/spreadsheetml/2006/main" count="217" uniqueCount="36">
  <si>
    <t xml:space="preserve">Cash Flow </t>
  </si>
  <si>
    <t xml:space="preserve"> </t>
  </si>
  <si>
    <t>A3 = A2-y2*(a2-a1)/y2-y1</t>
  </si>
  <si>
    <t>a2</t>
  </si>
  <si>
    <t>a1</t>
  </si>
  <si>
    <t xml:space="preserve">A3 </t>
  </si>
  <si>
    <t>y2</t>
  </si>
  <si>
    <t>y1</t>
  </si>
  <si>
    <t>Rate from Iteration 2</t>
  </si>
  <si>
    <t xml:space="preserve">Rate from Iteration 1 </t>
  </si>
  <si>
    <t xml:space="preserve">Result from Iteration 2 </t>
  </si>
  <si>
    <t>Result from Iteration1</t>
  </si>
  <si>
    <t xml:space="preserve">New Rate </t>
  </si>
  <si>
    <t xml:space="preserve">Date </t>
  </si>
  <si>
    <t>XIRR</t>
  </si>
  <si>
    <t xml:space="preserve">Face Value </t>
  </si>
  <si>
    <t xml:space="preserve">Cost </t>
  </si>
  <si>
    <t xml:space="preserve">Coupon Frequency </t>
  </si>
  <si>
    <t>Settlement</t>
  </si>
  <si>
    <t xml:space="preserve">Maturity </t>
  </si>
  <si>
    <t>Rate</t>
  </si>
  <si>
    <t>Price</t>
  </si>
  <si>
    <t>Redemption</t>
  </si>
  <si>
    <t>Day Basis</t>
  </si>
  <si>
    <t xml:space="preserve">Yield </t>
  </si>
  <si>
    <t xml:space="preserve">Carry Value </t>
  </si>
  <si>
    <t xml:space="preserve">Effective Interest Rate </t>
  </si>
  <si>
    <t xml:space="preserve">Disc Amortization </t>
  </si>
  <si>
    <t xml:space="preserve">Day Basis = 30/360 </t>
  </si>
  <si>
    <t>Discount Fully Amortized</t>
  </si>
  <si>
    <t xml:space="preserve">Coupon Rate </t>
  </si>
  <si>
    <t xml:space="preserve">Discount Rate </t>
  </si>
  <si>
    <t xml:space="preserve">Cash Payment </t>
  </si>
  <si>
    <t xml:space="preserve">XIRR Function </t>
  </si>
  <si>
    <t xml:space="preserve">Tolerance 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</si>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</sst>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.0000"/>
    <numFmt numFmtId="165" formatCode="0.000%"/>
    <numFmt numFmtId="166" formatCode="0.000000%"/>
    <numFmt numFmtId="167" formatCode="0.0000000000000"/>
    <numFmt numFmtId="173" formatCode="_(* #,##0.00000000_);_(* \(#,##0.00000000\);_(* &quot;-&quot;??_);_(@_)"/>
  </numFmts>
  <fonts count="8" x14ac:knownFonts="1"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43" fontId="0" fillId="0" borderId="0" xfId="1" applyFont="1"/>
    <xf numFmtId="4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43" fontId="0" fillId="2" borderId="0" xfId="1" applyFont="1" applyFill="1"/>
    <xf numFmtId="0" fontId="0" fillId="2" borderId="1" xfId="0" applyFill="1" applyBorder="1"/>
    <xf numFmtId="14" fontId="0" fillId="0" borderId="0" xfId="0" applyNumberFormat="1"/>
    <xf numFmtId="165" fontId="0" fillId="0" borderId="0" xfId="5" applyNumberFormat="1" applyFont="1"/>
    <xf numFmtId="0" fontId="3" fillId="0" borderId="2" xfId="4" applyBorder="1"/>
    <xf numFmtId="14" fontId="3" fillId="0" borderId="2" xfId="4" applyNumberFormat="1" applyBorder="1"/>
    <xf numFmtId="0" fontId="4" fillId="0" borderId="0" xfId="3"/>
    <xf numFmtId="43" fontId="4" fillId="0" borderId="0" xfId="1" applyFont="1"/>
    <xf numFmtId="0" fontId="3" fillId="0" borderId="1" xfId="4" applyBorder="1"/>
    <xf numFmtId="14" fontId="3" fillId="0" borderId="1" xfId="4" applyNumberFormat="1" applyBorder="1"/>
    <xf numFmtId="10" fontId="3" fillId="0" borderId="1" xfId="4" applyNumberFormat="1" applyBorder="1"/>
    <xf numFmtId="0" fontId="3" fillId="2" borderId="1" xfId="4" applyFill="1" applyBorder="1"/>
    <xf numFmtId="43" fontId="4" fillId="0" borderId="1" xfId="1" applyFont="1" applyBorder="1"/>
    <xf numFmtId="0" fontId="0" fillId="2" borderId="0" xfId="0" applyFill="1" applyBorder="1"/>
    <xf numFmtId="43" fontId="0" fillId="3" borderId="0" xfId="1" applyFont="1" applyFill="1"/>
    <xf numFmtId="166" fontId="3" fillId="2" borderId="1" xfId="5" applyNumberFormat="1" applyFont="1" applyFill="1" applyBorder="1"/>
    <xf numFmtId="43" fontId="0" fillId="0" borderId="0" xfId="1" applyFont="1" applyFill="1"/>
    <xf numFmtId="0" fontId="0" fillId="0" borderId="0" xfId="0" applyFill="1"/>
    <xf numFmtId="43" fontId="0" fillId="4" borderId="0" xfId="1" applyFont="1" applyFill="1"/>
    <xf numFmtId="0" fontId="0" fillId="0" borderId="0" xfId="0" applyNumberFormat="1"/>
    <xf numFmtId="0" fontId="0" fillId="4" borderId="0" xfId="0" applyFill="1"/>
    <xf numFmtId="167" fontId="0" fillId="0" borderId="0" xfId="0" applyNumberFormat="1" applyFill="1"/>
    <xf numFmtId="164" fontId="0" fillId="0" borderId="1" xfId="0" applyNumberFormat="1" applyFill="1" applyBorder="1"/>
    <xf numFmtId="4" fontId="0" fillId="0" borderId="1" xfId="0" applyNumberFormat="1" applyFill="1" applyBorder="1"/>
    <xf numFmtId="43" fontId="0" fillId="0" borderId="0" xfId="0" applyNumberFormat="1" applyFill="1"/>
    <xf numFmtId="14" fontId="0" fillId="0" borderId="1" xfId="0" applyNumberFormat="1" applyBorder="1"/>
    <xf numFmtId="43" fontId="0" fillId="0" borderId="1" xfId="1" applyFont="1" applyBorder="1"/>
    <xf numFmtId="0" fontId="4" fillId="0" borderId="0" xfId="3" applyFont="1"/>
    <xf numFmtId="43" fontId="4" fillId="0" borderId="0" xfId="3" applyNumberFormat="1"/>
    <xf numFmtId="14" fontId="0" fillId="5" borderId="0" xfId="0" applyNumberFormat="1" applyFill="1"/>
    <xf numFmtId="43" fontId="0" fillId="5" borderId="0" xfId="1" applyFont="1" applyFill="1"/>
    <xf numFmtId="173" fontId="0" fillId="0" borderId="0" xfId="0" applyNumberFormat="1"/>
  </cellXfs>
  <cellStyles count="7">
    <cellStyle name="Comma" xfId="1" builtinId="3"/>
    <cellStyle name="Normal" xfId="0" builtinId="0"/>
    <cellStyle name="Normal 2" xfId="2"/>
    <cellStyle name="Normal_YIELD " xfId="3"/>
    <cellStyle name="Normal_YIELD _1" xfId="4"/>
    <cellStyle name="Percent" xfId="5" builtinId="5"/>
    <cellStyle name="Percent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E3" sqref="E3"/>
    </sheetView>
  </sheetViews>
  <sheetFormatPr defaultRowHeight="12.75" x14ac:dyDescent="0.2"/>
  <cols>
    <col min="1" max="1" width="17.42578125" bestFit="1" customWidth="1"/>
    <col min="2" max="2" width="11.28515625" bestFit="1" customWidth="1"/>
    <col min="3" max="3" width="2.7109375" bestFit="1" customWidth="1"/>
    <col min="4" max="4" width="11" bestFit="1" customWidth="1"/>
    <col min="5" max="6" width="14" bestFit="1" customWidth="1"/>
  </cols>
  <sheetData>
    <row r="1" spans="1:5" x14ac:dyDescent="0.2">
      <c r="A1" s="10" t="s">
        <v>18</v>
      </c>
      <c r="B1" s="11">
        <v>39251</v>
      </c>
      <c r="C1" s="12"/>
      <c r="D1" s="12" t="s">
        <v>16</v>
      </c>
      <c r="E1" s="13">
        <v>13500000</v>
      </c>
    </row>
    <row r="2" spans="1:5" x14ac:dyDescent="0.2">
      <c r="A2" s="14" t="s">
        <v>19</v>
      </c>
      <c r="B2" s="15">
        <v>41443</v>
      </c>
      <c r="C2" s="12"/>
      <c r="D2" s="12" t="s">
        <v>15</v>
      </c>
      <c r="E2" s="13">
        <v>12800000</v>
      </c>
    </row>
    <row r="3" spans="1:5" x14ac:dyDescent="0.2">
      <c r="A3" s="14" t="s">
        <v>20</v>
      </c>
      <c r="B3" s="16">
        <v>0.115</v>
      </c>
      <c r="C3" s="12"/>
      <c r="D3" s="33" t="s">
        <v>35</v>
      </c>
      <c r="E3" s="34">
        <f>E2-E1</f>
        <v>-700000</v>
      </c>
    </row>
    <row r="4" spans="1:5" x14ac:dyDescent="0.2">
      <c r="A4" s="14" t="s">
        <v>21</v>
      </c>
      <c r="B4" s="18">
        <f>+E1/E2*100</f>
        <v>105.46875</v>
      </c>
      <c r="C4" s="13" t="s">
        <v>1</v>
      </c>
      <c r="D4" s="12"/>
      <c r="E4" s="12"/>
    </row>
    <row r="5" spans="1:5" x14ac:dyDescent="0.2">
      <c r="A5" s="14" t="s">
        <v>22</v>
      </c>
      <c r="B5" s="14">
        <v>100</v>
      </c>
      <c r="C5" s="12"/>
      <c r="D5" s="12"/>
      <c r="E5" s="12"/>
    </row>
    <row r="6" spans="1:5" x14ac:dyDescent="0.2">
      <c r="A6" s="14" t="s">
        <v>17</v>
      </c>
      <c r="B6" s="14">
        <v>1</v>
      </c>
      <c r="C6" s="12"/>
      <c r="D6" s="12"/>
      <c r="E6" s="12"/>
    </row>
    <row r="7" spans="1:5" x14ac:dyDescent="0.2">
      <c r="A7" s="14" t="s">
        <v>23</v>
      </c>
      <c r="B7" s="14">
        <v>0</v>
      </c>
      <c r="C7" s="12"/>
      <c r="D7" s="12"/>
      <c r="E7" s="12"/>
    </row>
    <row r="8" spans="1:5" x14ac:dyDescent="0.2">
      <c r="A8" s="17" t="s">
        <v>24</v>
      </c>
      <c r="B8" s="21">
        <f>YIELD(B1,B2,B3,B4,B5,B6,B7)</f>
        <v>0.1023565093811404</v>
      </c>
      <c r="C8" s="12"/>
      <c r="D8" s="12"/>
      <c r="E8" s="12"/>
    </row>
    <row r="30" spans="6:6" x14ac:dyDescent="0.2">
      <c r="F30" s="2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A2" sqref="A2:E8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8">
        <v>39251</v>
      </c>
      <c r="B2" s="22">
        <v>-13500000</v>
      </c>
      <c r="C2" s="22">
        <v>12800000</v>
      </c>
      <c r="D2" s="22">
        <v>0.115</v>
      </c>
      <c r="E2" s="22" t="s">
        <v>1</v>
      </c>
      <c r="F2" s="28">
        <v>0</v>
      </c>
      <c r="G2" s="28"/>
      <c r="H2" s="29">
        <f>+B2*-1</f>
        <v>13500000</v>
      </c>
    </row>
    <row r="3" spans="1:8" x14ac:dyDescent="0.2">
      <c r="A3" s="8">
        <v>39617</v>
      </c>
      <c r="B3" s="22">
        <f>+D2*$C$2</f>
        <v>1472000</v>
      </c>
      <c r="C3" s="22">
        <v>12800000</v>
      </c>
      <c r="D3" s="22">
        <v>0.115</v>
      </c>
      <c r="E3" s="22">
        <f>+D3*C3</f>
        <v>1472000</v>
      </c>
      <c r="F3" s="28">
        <v>0</v>
      </c>
      <c r="G3" s="28">
        <f>E3-((H2*0.25*F3))</f>
        <v>1472000</v>
      </c>
      <c r="H3" s="29">
        <f>+H2-G3</f>
        <v>12028000</v>
      </c>
    </row>
    <row r="4" spans="1:8" x14ac:dyDescent="0.2">
      <c r="A4" s="8">
        <v>39982</v>
      </c>
      <c r="B4" s="22">
        <f>+D3*$C$2</f>
        <v>1472000</v>
      </c>
      <c r="C4" s="22">
        <v>12800000</v>
      </c>
      <c r="D4" s="22">
        <v>0.115</v>
      </c>
      <c r="E4" s="22">
        <f>+D4*C4</f>
        <v>1472000</v>
      </c>
      <c r="F4" s="28">
        <v>0</v>
      </c>
      <c r="G4" s="28">
        <f t="shared" ref="G4:G30" si="0">E4-((H3*0.25*F4))</f>
        <v>1472000</v>
      </c>
      <c r="H4" s="29">
        <f t="shared" ref="H4:H30" si="1">+H3-G4</f>
        <v>10556000</v>
      </c>
    </row>
    <row r="5" spans="1:8" x14ac:dyDescent="0.2">
      <c r="A5" s="8">
        <v>40347</v>
      </c>
      <c r="B5" s="22">
        <f>+D4*$C$2</f>
        <v>1472000</v>
      </c>
      <c r="C5" s="22">
        <v>12800000</v>
      </c>
      <c r="D5" s="22">
        <v>0.115</v>
      </c>
      <c r="E5" s="22">
        <f>+D5*C5</f>
        <v>1472000</v>
      </c>
      <c r="F5" s="28">
        <v>0</v>
      </c>
      <c r="G5" s="28">
        <f t="shared" si="0"/>
        <v>1472000</v>
      </c>
      <c r="H5" s="29">
        <f t="shared" si="1"/>
        <v>9084000</v>
      </c>
    </row>
    <row r="6" spans="1:8" x14ac:dyDescent="0.2">
      <c r="A6" s="8">
        <v>40712</v>
      </c>
      <c r="B6" s="22">
        <f>+D5*$C$2</f>
        <v>1472000</v>
      </c>
      <c r="C6" s="22">
        <v>12800000</v>
      </c>
      <c r="D6" s="22">
        <v>0.115</v>
      </c>
      <c r="E6" s="22">
        <f>+D6*C6</f>
        <v>1472000</v>
      </c>
      <c r="F6" s="28">
        <v>0</v>
      </c>
      <c r="G6" s="28">
        <f t="shared" si="0"/>
        <v>1472000</v>
      </c>
      <c r="H6" s="29">
        <f t="shared" si="1"/>
        <v>7612000</v>
      </c>
    </row>
    <row r="7" spans="1:8" x14ac:dyDescent="0.2">
      <c r="A7" s="8">
        <v>41078</v>
      </c>
      <c r="B7" s="22">
        <f>+D6*$C$2</f>
        <v>1472000</v>
      </c>
      <c r="C7" s="22">
        <v>12800000</v>
      </c>
      <c r="D7" s="22">
        <v>0.115</v>
      </c>
      <c r="E7" s="22">
        <f>+D7*C7</f>
        <v>1472000</v>
      </c>
      <c r="F7" s="28">
        <v>0</v>
      </c>
      <c r="G7" s="28">
        <f t="shared" si="0"/>
        <v>1472000</v>
      </c>
      <c r="H7" s="29">
        <f t="shared" si="1"/>
        <v>6140000</v>
      </c>
    </row>
    <row r="8" spans="1:8" x14ac:dyDescent="0.2">
      <c r="A8" s="8">
        <v>41443</v>
      </c>
      <c r="B8" s="22">
        <f>+D7*$C$2</f>
        <v>1472000</v>
      </c>
      <c r="C8" s="22">
        <v>12800000</v>
      </c>
      <c r="D8" s="22">
        <v>0.115</v>
      </c>
      <c r="E8" s="22">
        <f>+D8*C8</f>
        <v>1472000</v>
      </c>
      <c r="F8" s="28">
        <v>0</v>
      </c>
      <c r="G8" s="28">
        <f t="shared" si="0"/>
        <v>1472000</v>
      </c>
      <c r="H8" s="29">
        <f t="shared" si="1"/>
        <v>4668000</v>
      </c>
    </row>
    <row r="9" spans="1:8" x14ac:dyDescent="0.2">
      <c r="A9" s="8"/>
      <c r="B9" s="22"/>
      <c r="C9" s="22"/>
      <c r="D9" s="22"/>
      <c r="E9" s="22"/>
      <c r="F9" s="28"/>
      <c r="G9" s="28"/>
      <c r="H9" s="29"/>
    </row>
    <row r="10" spans="1:8" x14ac:dyDescent="0.2">
      <c r="A10" s="8"/>
      <c r="B10" s="22"/>
      <c r="C10" s="22"/>
      <c r="D10" s="22"/>
      <c r="E10" s="22"/>
      <c r="F10" s="28"/>
      <c r="G10" s="28"/>
      <c r="H10" s="29"/>
    </row>
    <row r="11" spans="1:8" x14ac:dyDescent="0.2">
      <c r="A11" s="8"/>
      <c r="B11" s="22"/>
      <c r="C11" s="22"/>
      <c r="D11" s="22"/>
      <c r="E11" s="22"/>
      <c r="F11" s="28"/>
      <c r="G11" s="28"/>
      <c r="H11" s="29"/>
    </row>
    <row r="12" spans="1:8" x14ac:dyDescent="0.2">
      <c r="A12" s="8"/>
      <c r="B12" s="22"/>
      <c r="C12" s="22"/>
      <c r="D12" s="22"/>
      <c r="E12" s="22"/>
      <c r="F12" s="28"/>
      <c r="G12" s="28"/>
      <c r="H12" s="29"/>
    </row>
    <row r="13" spans="1:8" x14ac:dyDescent="0.2">
      <c r="A13" s="8"/>
      <c r="B13" s="22"/>
      <c r="C13" s="22"/>
      <c r="D13" s="22"/>
      <c r="E13" s="22"/>
      <c r="F13" s="28"/>
      <c r="G13" s="28"/>
      <c r="H13" s="29"/>
    </row>
    <row r="14" spans="1:8" x14ac:dyDescent="0.2">
      <c r="A14" s="8"/>
      <c r="B14" s="22"/>
      <c r="C14" s="22"/>
      <c r="D14" s="22"/>
      <c r="E14" s="22"/>
      <c r="F14" s="28"/>
      <c r="G14" s="28"/>
      <c r="H14" s="29"/>
    </row>
    <row r="15" spans="1:8" x14ac:dyDescent="0.2">
      <c r="A15" s="8"/>
      <c r="B15" s="22"/>
      <c r="C15" s="22"/>
      <c r="D15" s="22"/>
      <c r="E15" s="22"/>
      <c r="F15" s="28"/>
      <c r="G15" s="28"/>
      <c r="H15" s="29"/>
    </row>
    <row r="16" spans="1:8" x14ac:dyDescent="0.2">
      <c r="A16" s="8"/>
      <c r="B16" s="22"/>
      <c r="C16" s="22"/>
      <c r="D16" s="22"/>
      <c r="E16" s="22"/>
      <c r="F16" s="28"/>
      <c r="G16" s="28"/>
      <c r="H16" s="29"/>
    </row>
    <row r="17" spans="1:8" x14ac:dyDescent="0.2">
      <c r="A17" s="8"/>
      <c r="B17" s="22"/>
      <c r="C17" s="22"/>
      <c r="D17" s="22"/>
      <c r="E17" s="22"/>
      <c r="F17" s="28"/>
      <c r="G17" s="28"/>
      <c r="H17" s="29"/>
    </row>
    <row r="18" spans="1:8" x14ac:dyDescent="0.2">
      <c r="A18" s="8"/>
      <c r="B18" s="22"/>
      <c r="C18" s="22"/>
      <c r="D18" s="22"/>
      <c r="E18" s="22"/>
      <c r="F18" s="28"/>
      <c r="G18" s="28"/>
      <c r="H18" s="29"/>
    </row>
    <row r="19" spans="1:8" x14ac:dyDescent="0.2">
      <c r="A19" s="8"/>
      <c r="B19" s="22"/>
      <c r="C19" s="22"/>
      <c r="D19" s="22"/>
      <c r="E19" s="22"/>
      <c r="F19" s="28"/>
      <c r="G19" s="28"/>
      <c r="H19" s="29"/>
    </row>
    <row r="20" spans="1:8" x14ac:dyDescent="0.2">
      <c r="A20" s="8"/>
      <c r="B20" s="22"/>
      <c r="C20" s="22"/>
      <c r="D20" s="22"/>
      <c r="E20" s="22"/>
      <c r="F20" s="28"/>
      <c r="G20" s="28"/>
      <c r="H20" s="29"/>
    </row>
    <row r="21" spans="1:8" x14ac:dyDescent="0.2">
      <c r="A21" s="8"/>
      <c r="B21" s="22"/>
      <c r="C21" s="22"/>
      <c r="D21" s="22"/>
      <c r="E21" s="22"/>
      <c r="F21" s="28"/>
      <c r="G21" s="28"/>
      <c r="H21" s="29"/>
    </row>
    <row r="22" spans="1:8" x14ac:dyDescent="0.2">
      <c r="A22" s="8"/>
      <c r="B22" s="22"/>
      <c r="C22" s="22"/>
      <c r="D22" s="22"/>
      <c r="E22" s="22"/>
      <c r="F22" s="28"/>
      <c r="G22" s="28"/>
      <c r="H22" s="29"/>
    </row>
    <row r="23" spans="1:8" x14ac:dyDescent="0.2">
      <c r="A23" s="8"/>
      <c r="B23" s="22"/>
      <c r="C23" s="22"/>
      <c r="D23" s="22"/>
      <c r="E23" s="22"/>
      <c r="F23" s="28"/>
      <c r="G23" s="28"/>
      <c r="H23" s="29"/>
    </row>
    <row r="24" spans="1:8" x14ac:dyDescent="0.2">
      <c r="A24" s="8"/>
      <c r="B24" s="22"/>
      <c r="C24" s="22"/>
      <c r="D24" s="22"/>
      <c r="E24" s="22"/>
      <c r="F24" s="28"/>
      <c r="G24" s="28"/>
      <c r="H24" s="29"/>
    </row>
    <row r="25" spans="1:8" x14ac:dyDescent="0.2">
      <c r="A25" s="8"/>
      <c r="B25" s="22"/>
      <c r="C25" s="22"/>
      <c r="D25" s="22"/>
      <c r="E25" s="22"/>
      <c r="F25" s="28"/>
      <c r="G25" s="28"/>
      <c r="H25" s="29"/>
    </row>
    <row r="26" spans="1:8" x14ac:dyDescent="0.2">
      <c r="A26" s="8"/>
      <c r="B26" s="22"/>
      <c r="C26" s="22"/>
      <c r="D26" s="22"/>
      <c r="E26" s="22"/>
      <c r="F26" s="28"/>
      <c r="G26" s="28"/>
      <c r="H26" s="29"/>
    </row>
    <row r="27" spans="1:8" x14ac:dyDescent="0.2">
      <c r="A27" s="8"/>
      <c r="B27" s="22"/>
      <c r="C27" s="22"/>
      <c r="D27" s="22"/>
      <c r="E27" s="22"/>
      <c r="F27" s="28"/>
      <c r="G27" s="28"/>
      <c r="H27" s="29"/>
    </row>
    <row r="28" spans="1:8" x14ac:dyDescent="0.2">
      <c r="A28" s="8"/>
      <c r="B28" s="22"/>
      <c r="C28" s="22"/>
      <c r="D28" s="22"/>
      <c r="E28" s="22"/>
      <c r="F28" s="28"/>
      <c r="G28" s="28"/>
      <c r="H28" s="29"/>
    </row>
    <row r="29" spans="1:8" x14ac:dyDescent="0.2">
      <c r="A29" s="8"/>
      <c r="B29" s="22"/>
      <c r="C29" s="22"/>
      <c r="D29" s="22"/>
      <c r="E29" s="22"/>
      <c r="F29" s="28"/>
      <c r="G29" s="28"/>
      <c r="H29" s="29"/>
    </row>
    <row r="30" spans="1:8" x14ac:dyDescent="0.2">
      <c r="A30" s="8"/>
      <c r="B30" s="22"/>
      <c r="C30" s="22"/>
      <c r="D30" s="22"/>
      <c r="E30" s="22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H8-C2</f>
        <v>-8132000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A2" sqref="A2:E8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8">
        <v>39251</v>
      </c>
      <c r="B2" s="22">
        <v>-13500000</v>
      </c>
      <c r="C2" s="22">
        <v>12800000</v>
      </c>
      <c r="D2" s="22">
        <v>0.115</v>
      </c>
      <c r="E2" s="22" t="s">
        <v>1</v>
      </c>
      <c r="F2" s="28">
        <v>1.2500000000000001E-2</v>
      </c>
      <c r="G2" s="28"/>
      <c r="H2" s="29">
        <f>+B2*-1</f>
        <v>13500000</v>
      </c>
    </row>
    <row r="3" spans="1:8" x14ac:dyDescent="0.2">
      <c r="A3" s="8">
        <v>39617</v>
      </c>
      <c r="B3" s="22">
        <f>+D2*$C$2</f>
        <v>1472000</v>
      </c>
      <c r="C3" s="22">
        <v>12800000</v>
      </c>
      <c r="D3" s="22">
        <v>0.115</v>
      </c>
      <c r="E3" s="22">
        <f>+D3*C3</f>
        <v>1472000</v>
      </c>
      <c r="F3" s="28">
        <v>1.2500000000000001E-2</v>
      </c>
      <c r="G3" s="28">
        <f>E3-((H2*0.25*F3))</f>
        <v>1429812.5</v>
      </c>
      <c r="H3" s="29">
        <f>+H2-G3</f>
        <v>12070187.5</v>
      </c>
    </row>
    <row r="4" spans="1:8" x14ac:dyDescent="0.2">
      <c r="A4" s="8">
        <v>39982</v>
      </c>
      <c r="B4" s="22">
        <f>+D3*$C$2</f>
        <v>1472000</v>
      </c>
      <c r="C4" s="22">
        <v>12800000</v>
      </c>
      <c r="D4" s="22">
        <v>0.115</v>
      </c>
      <c r="E4" s="22">
        <f>+D4*C4</f>
        <v>1472000</v>
      </c>
      <c r="F4" s="28">
        <v>1.2500000000000001E-2</v>
      </c>
      <c r="G4" s="28">
        <f t="shared" ref="G4:G30" si="0">E4-((H3*0.25*F4))</f>
        <v>1434280.6640625</v>
      </c>
      <c r="H4" s="29">
        <f t="shared" ref="H4:H30" si="1">+H3-G4</f>
        <v>10635906.8359375</v>
      </c>
    </row>
    <row r="5" spans="1:8" x14ac:dyDescent="0.2">
      <c r="A5" s="8">
        <v>40347</v>
      </c>
      <c r="B5" s="22">
        <f>+D4*$C$2</f>
        <v>1472000</v>
      </c>
      <c r="C5" s="22">
        <v>12800000</v>
      </c>
      <c r="D5" s="22">
        <v>0.115</v>
      </c>
      <c r="E5" s="22">
        <f>+D5*C5</f>
        <v>1472000</v>
      </c>
      <c r="F5" s="28">
        <v>1.2500000000000001E-2</v>
      </c>
      <c r="G5" s="28">
        <f t="shared" si="0"/>
        <v>1438762.7911376953</v>
      </c>
      <c r="H5" s="29">
        <f t="shared" si="1"/>
        <v>9197144.0447998047</v>
      </c>
    </row>
    <row r="6" spans="1:8" x14ac:dyDescent="0.2">
      <c r="A6" s="8">
        <v>40712</v>
      </c>
      <c r="B6" s="22">
        <f>+D5*$C$2</f>
        <v>1472000</v>
      </c>
      <c r="C6" s="22">
        <v>12800000</v>
      </c>
      <c r="D6" s="22">
        <v>0.115</v>
      </c>
      <c r="E6" s="22">
        <f>+D6*C6</f>
        <v>1472000</v>
      </c>
      <c r="F6" s="28">
        <v>1.2500000000000001E-2</v>
      </c>
      <c r="G6" s="28">
        <f t="shared" si="0"/>
        <v>1443258.9248600006</v>
      </c>
      <c r="H6" s="29">
        <f t="shared" si="1"/>
        <v>7753885.1199398041</v>
      </c>
    </row>
    <row r="7" spans="1:8" x14ac:dyDescent="0.2">
      <c r="A7" s="8">
        <v>41078</v>
      </c>
      <c r="B7" s="22">
        <f>+D6*$C$2</f>
        <v>1472000</v>
      </c>
      <c r="C7" s="22">
        <v>12800000</v>
      </c>
      <c r="D7" s="22">
        <v>0.115</v>
      </c>
      <c r="E7" s="22">
        <f>+D7*C7</f>
        <v>1472000</v>
      </c>
      <c r="F7" s="28">
        <v>1.2500000000000001E-2</v>
      </c>
      <c r="G7" s="28">
        <f t="shared" si="0"/>
        <v>1447769.1090001881</v>
      </c>
      <c r="H7" s="29">
        <f t="shared" si="1"/>
        <v>6306116.0109396158</v>
      </c>
    </row>
    <row r="8" spans="1:8" x14ac:dyDescent="0.2">
      <c r="A8" s="8">
        <v>41443</v>
      </c>
      <c r="B8" s="22">
        <f>+D7*$C$2</f>
        <v>1472000</v>
      </c>
      <c r="C8" s="22">
        <v>12800000</v>
      </c>
      <c r="D8" s="22">
        <v>0.115</v>
      </c>
      <c r="E8" s="22">
        <f>+D8*C8</f>
        <v>1472000</v>
      </c>
      <c r="F8" s="28">
        <v>1.2500000000000001E-2</v>
      </c>
      <c r="G8" s="28">
        <f t="shared" si="0"/>
        <v>1452293.3874658137</v>
      </c>
      <c r="H8" s="29">
        <f t="shared" si="1"/>
        <v>4853822.6234738026</v>
      </c>
    </row>
    <row r="9" spans="1:8" x14ac:dyDescent="0.2">
      <c r="A9" s="8"/>
      <c r="B9" s="1"/>
      <c r="C9" s="1"/>
      <c r="D9" s="1"/>
      <c r="E9" s="1"/>
      <c r="F9" s="28"/>
      <c r="G9" s="28"/>
      <c r="H9" s="29"/>
    </row>
    <row r="10" spans="1:8" x14ac:dyDescent="0.2">
      <c r="A10" s="8"/>
      <c r="B10" s="1"/>
      <c r="C10" s="1"/>
      <c r="D10" s="1"/>
      <c r="E10" s="1"/>
      <c r="F10" s="28"/>
      <c r="G10" s="28"/>
      <c r="H10" s="29"/>
    </row>
    <row r="11" spans="1:8" x14ac:dyDescent="0.2">
      <c r="A11" s="8"/>
      <c r="B11" s="1"/>
      <c r="C11" s="1"/>
      <c r="D11" s="1"/>
      <c r="E11" s="1"/>
      <c r="F11" s="28"/>
      <c r="G11" s="28"/>
      <c r="H11" s="29"/>
    </row>
    <row r="12" spans="1:8" x14ac:dyDescent="0.2">
      <c r="A12" s="8"/>
      <c r="B12" s="1"/>
      <c r="C12" s="1"/>
      <c r="D12" s="1"/>
      <c r="E12" s="1"/>
      <c r="F12" s="28"/>
      <c r="G12" s="28"/>
      <c r="H12" s="29"/>
    </row>
    <row r="13" spans="1:8" x14ac:dyDescent="0.2">
      <c r="A13" s="8"/>
      <c r="B13" s="1"/>
      <c r="C13" s="1"/>
      <c r="D13" s="1"/>
      <c r="E13" s="1"/>
      <c r="F13" s="28"/>
      <c r="G13" s="28"/>
      <c r="H13" s="29"/>
    </row>
    <row r="14" spans="1:8" x14ac:dyDescent="0.2">
      <c r="A14" s="8"/>
      <c r="B14" s="1"/>
      <c r="C14" s="1"/>
      <c r="D14" s="1"/>
      <c r="E14" s="1"/>
      <c r="F14" s="28"/>
      <c r="G14" s="28"/>
      <c r="H14" s="29"/>
    </row>
    <row r="15" spans="1:8" x14ac:dyDescent="0.2">
      <c r="A15" s="8"/>
      <c r="B15" s="1"/>
      <c r="C15" s="1"/>
      <c r="D15" s="1"/>
      <c r="E15" s="1"/>
      <c r="F15" s="28"/>
      <c r="G15" s="28"/>
      <c r="H15" s="29"/>
    </row>
    <row r="16" spans="1:8" x14ac:dyDescent="0.2">
      <c r="A16" s="8"/>
      <c r="B16" s="1"/>
      <c r="C16" s="1"/>
      <c r="D16" s="1"/>
      <c r="E16" s="1"/>
      <c r="F16" s="28"/>
      <c r="G16" s="28"/>
      <c r="H16" s="29"/>
    </row>
    <row r="17" spans="1:8" x14ac:dyDescent="0.2">
      <c r="A17" s="8"/>
      <c r="B17" s="1"/>
      <c r="C17" s="1"/>
      <c r="D17" s="1"/>
      <c r="E17" s="1"/>
      <c r="F17" s="28"/>
      <c r="G17" s="28"/>
      <c r="H17" s="29"/>
    </row>
    <row r="18" spans="1:8" x14ac:dyDescent="0.2">
      <c r="A18" s="8"/>
      <c r="B18" s="1"/>
      <c r="C18" s="1"/>
      <c r="D18" s="1"/>
      <c r="E18" s="1"/>
      <c r="F18" s="28"/>
      <c r="G18" s="28"/>
      <c r="H18" s="29"/>
    </row>
    <row r="19" spans="1:8" x14ac:dyDescent="0.2">
      <c r="A19" s="8"/>
      <c r="B19" s="1"/>
      <c r="C19" s="1"/>
      <c r="D19" s="1"/>
      <c r="E19" s="1"/>
      <c r="F19" s="28"/>
      <c r="G19" s="28"/>
      <c r="H19" s="29"/>
    </row>
    <row r="20" spans="1:8" x14ac:dyDescent="0.2">
      <c r="A20" s="8"/>
      <c r="B20" s="1"/>
      <c r="C20" s="1"/>
      <c r="D20" s="1"/>
      <c r="E20" s="1"/>
      <c r="F20" s="28"/>
      <c r="G20" s="28"/>
      <c r="H20" s="29"/>
    </row>
    <row r="21" spans="1:8" x14ac:dyDescent="0.2">
      <c r="A21" s="8"/>
      <c r="B21" s="1"/>
      <c r="C21" s="1"/>
      <c r="D21" s="1"/>
      <c r="E21" s="1"/>
      <c r="F21" s="28"/>
      <c r="G21" s="28"/>
      <c r="H21" s="29"/>
    </row>
    <row r="22" spans="1:8" x14ac:dyDescent="0.2">
      <c r="A22" s="8"/>
      <c r="B22" s="1"/>
      <c r="C22" s="1"/>
      <c r="D22" s="1"/>
      <c r="E22" s="1"/>
      <c r="F22" s="28"/>
      <c r="G22" s="28"/>
      <c r="H22" s="29"/>
    </row>
    <row r="23" spans="1:8" x14ac:dyDescent="0.2">
      <c r="A23" s="8"/>
      <c r="B23" s="1"/>
      <c r="C23" s="1"/>
      <c r="D23" s="1"/>
      <c r="E23" s="1"/>
      <c r="F23" s="28"/>
      <c r="G23" s="28"/>
      <c r="H23" s="29"/>
    </row>
    <row r="24" spans="1:8" x14ac:dyDescent="0.2">
      <c r="A24" s="8"/>
      <c r="B24" s="1"/>
      <c r="C24" s="1"/>
      <c r="D24" s="1"/>
      <c r="E24" s="1"/>
      <c r="F24" s="28"/>
      <c r="G24" s="28"/>
      <c r="H24" s="29"/>
    </row>
    <row r="25" spans="1:8" x14ac:dyDescent="0.2">
      <c r="A25" s="8"/>
      <c r="B25" s="1"/>
      <c r="C25" s="1"/>
      <c r="D25" s="1"/>
      <c r="E25" s="1"/>
      <c r="F25" s="28"/>
      <c r="G25" s="28"/>
      <c r="H25" s="29"/>
    </row>
    <row r="26" spans="1:8" x14ac:dyDescent="0.2">
      <c r="A26" s="8"/>
      <c r="B26" s="1"/>
      <c r="C26" s="1"/>
      <c r="D26" s="1"/>
      <c r="E26" s="1"/>
      <c r="F26" s="28"/>
      <c r="G26" s="28"/>
      <c r="H26" s="29"/>
    </row>
    <row r="27" spans="1:8" x14ac:dyDescent="0.2">
      <c r="A27" s="8"/>
      <c r="B27" s="1"/>
      <c r="C27" s="1"/>
      <c r="D27" s="1"/>
      <c r="E27" s="1"/>
      <c r="F27" s="28"/>
      <c r="G27" s="28"/>
      <c r="H27" s="29"/>
    </row>
    <row r="28" spans="1:8" x14ac:dyDescent="0.2">
      <c r="A28" s="8"/>
      <c r="B28" s="1"/>
      <c r="C28" s="1"/>
      <c r="D28" s="1"/>
      <c r="E28" s="1"/>
      <c r="F28" s="28"/>
      <c r="G28" s="28"/>
      <c r="H28" s="29"/>
    </row>
    <row r="29" spans="1:8" x14ac:dyDescent="0.2">
      <c r="A29" s="8"/>
      <c r="B29" s="1"/>
      <c r="C29" s="1"/>
      <c r="D29" s="1"/>
      <c r="E29" s="1"/>
      <c r="F29" s="28"/>
      <c r="G29" s="28"/>
      <c r="H29" s="29"/>
    </row>
    <row r="30" spans="1:8" x14ac:dyDescent="0.2">
      <c r="A30" s="8"/>
      <c r="B30" s="1"/>
      <c r="C30" s="1"/>
      <c r="D30" s="1"/>
      <c r="E30" s="1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H8-C2</f>
        <v>-7946177.3765261974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A2" sqref="A2:E8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5">
        <v>39251</v>
      </c>
      <c r="B2" s="36">
        <v>-13500000</v>
      </c>
      <c r="C2" s="36">
        <v>12800000</v>
      </c>
      <c r="D2" s="36">
        <v>0.115</v>
      </c>
      <c r="E2" s="36" t="s">
        <v>1</v>
      </c>
      <c r="F2" s="28">
        <v>8.7499999999999994E-2</v>
      </c>
      <c r="G2" s="28"/>
      <c r="H2" s="29">
        <f>+B2*-1</f>
        <v>13500000</v>
      </c>
    </row>
    <row r="3" spans="1:8" x14ac:dyDescent="0.2">
      <c r="A3" s="35">
        <v>39617</v>
      </c>
      <c r="B3" s="36">
        <f>+D2*$C$2</f>
        <v>1472000</v>
      </c>
      <c r="C3" s="36">
        <v>12800000</v>
      </c>
      <c r="D3" s="36">
        <v>0.115</v>
      </c>
      <c r="E3" s="36">
        <f>+D3*C3</f>
        <v>1472000</v>
      </c>
      <c r="F3" s="28">
        <v>8.7499999999999994E-2</v>
      </c>
      <c r="G3" s="28">
        <f>E3-((H2*0.25*F3))</f>
        <v>1176687.5</v>
      </c>
      <c r="H3" s="29">
        <f>+H2-G3</f>
        <v>12323312.5</v>
      </c>
    </row>
    <row r="4" spans="1:8" x14ac:dyDescent="0.2">
      <c r="A4" s="35">
        <v>39982</v>
      </c>
      <c r="B4" s="36">
        <f>+D3*$C$2</f>
        <v>1472000</v>
      </c>
      <c r="C4" s="36">
        <v>12800000</v>
      </c>
      <c r="D4" s="36">
        <v>0.115</v>
      </c>
      <c r="E4" s="36">
        <f>+D4*C4</f>
        <v>1472000</v>
      </c>
      <c r="F4" s="28">
        <v>8.7499999999999994E-2</v>
      </c>
      <c r="G4" s="28">
        <f t="shared" ref="G4:G30" si="0">E4-((H3*0.25*F4))</f>
        <v>1202427.5390625</v>
      </c>
      <c r="H4" s="29">
        <f t="shared" ref="H4:H30" si="1">+H3-G4</f>
        <v>11120884.9609375</v>
      </c>
    </row>
    <row r="5" spans="1:8" x14ac:dyDescent="0.2">
      <c r="A5" s="35">
        <v>40347</v>
      </c>
      <c r="B5" s="36">
        <f>+D4*$C$2</f>
        <v>1472000</v>
      </c>
      <c r="C5" s="36">
        <v>12800000</v>
      </c>
      <c r="D5" s="36">
        <v>0.115</v>
      </c>
      <c r="E5" s="36">
        <f>+D5*C5</f>
        <v>1472000</v>
      </c>
      <c r="F5" s="28">
        <v>8.7499999999999994E-2</v>
      </c>
      <c r="G5" s="28">
        <f t="shared" si="0"/>
        <v>1228730.6414794922</v>
      </c>
      <c r="H5" s="29">
        <f t="shared" si="1"/>
        <v>9892154.3194580078</v>
      </c>
    </row>
    <row r="6" spans="1:8" x14ac:dyDescent="0.2">
      <c r="A6" s="35">
        <v>40712</v>
      </c>
      <c r="B6" s="36">
        <f>+D5*$C$2</f>
        <v>1472000</v>
      </c>
      <c r="C6" s="36">
        <v>12800000</v>
      </c>
      <c r="D6" s="36">
        <v>0.115</v>
      </c>
      <c r="E6" s="36">
        <f>+D6*C6</f>
        <v>1472000</v>
      </c>
      <c r="F6" s="28">
        <v>8.7499999999999994E-2</v>
      </c>
      <c r="G6" s="28">
        <f t="shared" si="0"/>
        <v>1255609.1242618561</v>
      </c>
      <c r="H6" s="29">
        <f t="shared" si="1"/>
        <v>8636545.1951961517</v>
      </c>
    </row>
    <row r="7" spans="1:8" x14ac:dyDescent="0.2">
      <c r="A7" s="35">
        <v>41078</v>
      </c>
      <c r="B7" s="36">
        <f>+D6*$C$2</f>
        <v>1472000</v>
      </c>
      <c r="C7" s="36">
        <v>12800000</v>
      </c>
      <c r="D7" s="36">
        <v>0.115</v>
      </c>
      <c r="E7" s="36">
        <f>+D7*C7</f>
        <v>1472000</v>
      </c>
      <c r="F7" s="28">
        <v>8.7499999999999994E-2</v>
      </c>
      <c r="G7" s="28">
        <f t="shared" si="0"/>
        <v>1283075.5738550841</v>
      </c>
      <c r="H7" s="29">
        <f t="shared" si="1"/>
        <v>7353469.6213410674</v>
      </c>
    </row>
    <row r="8" spans="1:8" x14ac:dyDescent="0.2">
      <c r="A8" s="35">
        <v>41443</v>
      </c>
      <c r="B8" s="36">
        <f>+D7*$C$2</f>
        <v>1472000</v>
      </c>
      <c r="C8" s="36">
        <v>12800000</v>
      </c>
      <c r="D8" s="36">
        <v>0.115</v>
      </c>
      <c r="E8" s="36">
        <f>+D8*C8</f>
        <v>1472000</v>
      </c>
      <c r="F8" s="28">
        <v>8.7499999999999994E-2</v>
      </c>
      <c r="G8" s="28">
        <f t="shared" si="0"/>
        <v>1311142.8520331641</v>
      </c>
      <c r="H8" s="29">
        <f t="shared" si="1"/>
        <v>6042326.769307903</v>
      </c>
    </row>
    <row r="9" spans="1:8" x14ac:dyDescent="0.2">
      <c r="A9" s="8"/>
      <c r="B9" s="1"/>
      <c r="C9" s="1"/>
      <c r="D9" s="1"/>
      <c r="E9" s="1"/>
      <c r="F9" s="28"/>
      <c r="G9" s="28"/>
      <c r="H9" s="29"/>
    </row>
    <row r="10" spans="1:8" x14ac:dyDescent="0.2">
      <c r="A10" s="8"/>
      <c r="B10" s="1"/>
      <c r="C10" s="1"/>
      <c r="D10" s="1"/>
      <c r="E10" s="1"/>
      <c r="F10" s="28"/>
      <c r="G10" s="28"/>
      <c r="H10" s="29"/>
    </row>
    <row r="11" spans="1:8" x14ac:dyDescent="0.2">
      <c r="A11" s="8"/>
      <c r="B11" s="1"/>
      <c r="C11" s="1"/>
      <c r="D11" s="1"/>
      <c r="E11" s="1"/>
      <c r="F11" s="28"/>
      <c r="G11" s="28"/>
      <c r="H11" s="29"/>
    </row>
    <row r="12" spans="1:8" x14ac:dyDescent="0.2">
      <c r="A12" s="8"/>
      <c r="B12" s="1"/>
      <c r="C12" s="1"/>
      <c r="D12" s="1"/>
      <c r="E12" s="1"/>
      <c r="F12" s="28"/>
      <c r="G12" s="28"/>
      <c r="H12" s="29"/>
    </row>
    <row r="13" spans="1:8" x14ac:dyDescent="0.2">
      <c r="A13" s="8"/>
      <c r="B13" s="1"/>
      <c r="C13" s="1"/>
      <c r="D13" s="1"/>
      <c r="E13" s="1"/>
      <c r="F13" s="28"/>
      <c r="G13" s="28"/>
      <c r="H13" s="29"/>
    </row>
    <row r="14" spans="1:8" x14ac:dyDescent="0.2">
      <c r="A14" s="8"/>
      <c r="B14" s="1"/>
      <c r="C14" s="1"/>
      <c r="D14" s="1"/>
      <c r="E14" s="1"/>
      <c r="F14" s="28"/>
      <c r="G14" s="28"/>
      <c r="H14" s="29"/>
    </row>
    <row r="15" spans="1:8" x14ac:dyDescent="0.2">
      <c r="A15" s="8"/>
      <c r="B15" s="1"/>
      <c r="C15" s="1"/>
      <c r="D15" s="1"/>
      <c r="E15" s="1"/>
      <c r="F15" s="28"/>
      <c r="G15" s="28"/>
      <c r="H15" s="29"/>
    </row>
    <row r="16" spans="1:8" x14ac:dyDescent="0.2">
      <c r="A16" s="8"/>
      <c r="B16" s="1"/>
      <c r="C16" s="1"/>
      <c r="D16" s="1"/>
      <c r="E16" s="1"/>
      <c r="F16" s="28"/>
      <c r="G16" s="28"/>
      <c r="H16" s="29"/>
    </row>
    <row r="17" spans="1:8" x14ac:dyDescent="0.2">
      <c r="A17" s="8"/>
      <c r="B17" s="1"/>
      <c r="C17" s="1"/>
      <c r="D17" s="1"/>
      <c r="E17" s="1"/>
      <c r="F17" s="28"/>
      <c r="G17" s="28"/>
      <c r="H17" s="29"/>
    </row>
    <row r="18" spans="1:8" x14ac:dyDescent="0.2">
      <c r="A18" s="8"/>
      <c r="B18" s="1"/>
      <c r="C18" s="1"/>
      <c r="D18" s="1"/>
      <c r="E18" s="1"/>
      <c r="F18" s="28"/>
      <c r="G18" s="28"/>
      <c r="H18" s="29"/>
    </row>
    <row r="19" spans="1:8" x14ac:dyDescent="0.2">
      <c r="A19" s="8"/>
      <c r="B19" s="1"/>
      <c r="C19" s="1"/>
      <c r="D19" s="1"/>
      <c r="E19" s="1"/>
      <c r="F19" s="28"/>
      <c r="G19" s="28"/>
      <c r="H19" s="29"/>
    </row>
    <row r="20" spans="1:8" x14ac:dyDescent="0.2">
      <c r="A20" s="8"/>
      <c r="B20" s="1"/>
      <c r="C20" s="1"/>
      <c r="D20" s="1"/>
      <c r="E20" s="1"/>
      <c r="F20" s="28"/>
      <c r="G20" s="28"/>
      <c r="H20" s="29"/>
    </row>
    <row r="21" spans="1:8" x14ac:dyDescent="0.2">
      <c r="A21" s="8"/>
      <c r="B21" s="1"/>
      <c r="C21" s="1"/>
      <c r="D21" s="1"/>
      <c r="E21" s="1"/>
      <c r="F21" s="28"/>
      <c r="G21" s="28"/>
      <c r="H21" s="29"/>
    </row>
    <row r="22" spans="1:8" x14ac:dyDescent="0.2">
      <c r="A22" s="8"/>
      <c r="B22" s="1"/>
      <c r="C22" s="1"/>
      <c r="D22" s="1"/>
      <c r="E22" s="1"/>
      <c r="F22" s="28"/>
      <c r="G22" s="28"/>
      <c r="H22" s="29"/>
    </row>
    <row r="23" spans="1:8" x14ac:dyDescent="0.2">
      <c r="A23" s="8"/>
      <c r="B23" s="1"/>
      <c r="C23" s="1"/>
      <c r="D23" s="1"/>
      <c r="E23" s="1"/>
      <c r="F23" s="28"/>
      <c r="G23" s="28"/>
      <c r="H23" s="29"/>
    </row>
    <row r="24" spans="1:8" x14ac:dyDescent="0.2">
      <c r="A24" s="8"/>
      <c r="B24" s="1"/>
      <c r="C24" s="1"/>
      <c r="D24" s="1"/>
      <c r="E24" s="1"/>
      <c r="F24" s="28"/>
      <c r="G24" s="28"/>
      <c r="H24" s="29"/>
    </row>
    <row r="25" spans="1:8" x14ac:dyDescent="0.2">
      <c r="A25" s="8"/>
      <c r="B25" s="1"/>
      <c r="C25" s="1"/>
      <c r="D25" s="1"/>
      <c r="E25" s="1"/>
      <c r="F25" s="28"/>
      <c r="G25" s="28"/>
      <c r="H25" s="29"/>
    </row>
    <row r="26" spans="1:8" x14ac:dyDescent="0.2">
      <c r="A26" s="8"/>
      <c r="B26" s="1"/>
      <c r="C26" s="1"/>
      <c r="D26" s="1"/>
      <c r="E26" s="1"/>
      <c r="F26" s="28"/>
      <c r="G26" s="28"/>
      <c r="H26" s="29"/>
    </row>
    <row r="27" spans="1:8" x14ac:dyDescent="0.2">
      <c r="A27" s="8"/>
      <c r="B27" s="1"/>
      <c r="C27" s="1"/>
      <c r="D27" s="1"/>
      <c r="E27" s="1"/>
      <c r="F27" s="28"/>
      <c r="G27" s="28"/>
      <c r="H27" s="29"/>
    </row>
    <row r="28" spans="1:8" x14ac:dyDescent="0.2">
      <c r="A28" s="8"/>
      <c r="B28" s="1"/>
      <c r="C28" s="1"/>
      <c r="D28" s="1"/>
      <c r="E28" s="1"/>
      <c r="F28" s="28"/>
      <c r="G28" s="28"/>
      <c r="H28" s="29"/>
    </row>
    <row r="29" spans="1:8" x14ac:dyDescent="0.2">
      <c r="A29" s="8"/>
      <c r="B29" s="1"/>
      <c r="C29" s="1"/>
      <c r="D29" s="1"/>
      <c r="E29" s="1"/>
      <c r="F29" s="28"/>
      <c r="G29" s="28"/>
      <c r="H29" s="29"/>
    </row>
    <row r="30" spans="1:8" x14ac:dyDescent="0.2">
      <c r="A30" s="8"/>
      <c r="B30" s="1"/>
      <c r="C30" s="1"/>
      <c r="D30" s="1"/>
      <c r="E30" s="1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H8-C2</f>
        <v>-6757673.230692097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C8"/>
  <sheetViews>
    <sheetView workbookViewId="0">
      <selection activeCell="B4" sqref="B4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0.51393981855546123</v>
      </c>
      <c r="C4" t="s">
        <v>12</v>
      </c>
    </row>
    <row r="5" spans="1:3" x14ac:dyDescent="0.2">
      <c r="A5" s="5" t="s">
        <v>3</v>
      </c>
      <c r="B5">
        <v>8.7499999999999994E-2</v>
      </c>
      <c r="C5" t="s">
        <v>8</v>
      </c>
    </row>
    <row r="6" spans="1:3" x14ac:dyDescent="0.2">
      <c r="A6" s="5" t="s">
        <v>4</v>
      </c>
      <c r="B6">
        <v>1.2500000000000001E-2</v>
      </c>
      <c r="C6" t="s">
        <v>9</v>
      </c>
    </row>
    <row r="7" spans="1:3" x14ac:dyDescent="0.2">
      <c r="A7" s="5" t="s">
        <v>6</v>
      </c>
      <c r="B7" s="2">
        <f>'Iteration 3'!G34</f>
        <v>-6757673.230692097</v>
      </c>
      <c r="C7" t="s">
        <v>10</v>
      </c>
    </row>
    <row r="8" spans="1:3" x14ac:dyDescent="0.2">
      <c r="A8" s="5" t="s">
        <v>7</v>
      </c>
      <c r="B8" s="2">
        <f>'Iteration 2'!G34</f>
        <v>-7946177.3765261974</v>
      </c>
      <c r="C8" t="s">
        <v>11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H36"/>
  <sheetViews>
    <sheetView workbookViewId="0">
      <selection activeCell="A9" sqref="A9:H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5">
        <v>39251</v>
      </c>
      <c r="B2" s="36">
        <v>-13500000</v>
      </c>
      <c r="C2" s="36">
        <v>12800000</v>
      </c>
      <c r="D2" s="36">
        <v>0.115</v>
      </c>
      <c r="E2" s="36" t="s">
        <v>1</v>
      </c>
      <c r="F2" s="28">
        <f>'Get Rate for Iteration 4'!$B$4</f>
        <v>0.51393981855546123</v>
      </c>
      <c r="G2" s="28"/>
      <c r="H2" s="29">
        <f>+B2*-1</f>
        <v>13500000</v>
      </c>
    </row>
    <row r="3" spans="1:8" x14ac:dyDescent="0.2">
      <c r="A3" s="35">
        <v>39617</v>
      </c>
      <c r="B3" s="36">
        <f>+D2*$C$2</f>
        <v>1472000</v>
      </c>
      <c r="C3" s="36">
        <v>12800000</v>
      </c>
      <c r="D3" s="36">
        <v>0.115</v>
      </c>
      <c r="E3" s="36">
        <f>+D3*C3</f>
        <v>1472000</v>
      </c>
      <c r="F3" s="28">
        <f>'Get Rate for Iteration 4'!$B$4</f>
        <v>0.51393981855546123</v>
      </c>
      <c r="G3" s="28">
        <f>E3-((H2*0.25*F3))</f>
        <v>-262546.88762468169</v>
      </c>
      <c r="H3" s="29">
        <f>+H2-G3</f>
        <v>13762546.887624681</v>
      </c>
    </row>
    <row r="4" spans="1:8" x14ac:dyDescent="0.2">
      <c r="A4" s="35">
        <v>39982</v>
      </c>
      <c r="B4" s="36">
        <f>+D3*$C$2</f>
        <v>1472000</v>
      </c>
      <c r="C4" s="36">
        <v>12800000</v>
      </c>
      <c r="D4" s="36">
        <v>0.115</v>
      </c>
      <c r="E4" s="36">
        <f>+D4*C4</f>
        <v>1472000</v>
      </c>
      <c r="F4" s="28">
        <f>'Get Rate for Iteration 4'!$B$4</f>
        <v>0.51393981855546123</v>
      </c>
      <c r="G4" s="28">
        <f t="shared" ref="G4:G30" si="0">E4-((H3*0.25*F4))</f>
        <v>-296280.21257171407</v>
      </c>
      <c r="H4" s="29">
        <f t="shared" ref="H4:H30" si="1">+H3-G4</f>
        <v>14058827.100196395</v>
      </c>
    </row>
    <row r="5" spans="1:8" x14ac:dyDescent="0.2">
      <c r="A5" s="35">
        <v>40347</v>
      </c>
      <c r="B5" s="36">
        <f>+D4*$C$2</f>
        <v>1472000</v>
      </c>
      <c r="C5" s="36">
        <v>12800000</v>
      </c>
      <c r="D5" s="36">
        <v>0.115</v>
      </c>
      <c r="E5" s="36">
        <f>+D5*C5</f>
        <v>1472000</v>
      </c>
      <c r="F5" s="28">
        <f>'Get Rate for Iteration 4'!$B$4</f>
        <v>0.51393981855546123</v>
      </c>
      <c r="G5" s="28">
        <f t="shared" si="0"/>
        <v>-334347.76224438404</v>
      </c>
      <c r="H5" s="29">
        <f t="shared" si="1"/>
        <v>14393174.86244078</v>
      </c>
    </row>
    <row r="6" spans="1:8" x14ac:dyDescent="0.2">
      <c r="A6" s="35">
        <v>40712</v>
      </c>
      <c r="B6" s="36">
        <f>+D5*$C$2</f>
        <v>1472000</v>
      </c>
      <c r="C6" s="36">
        <v>12800000</v>
      </c>
      <c r="D6" s="36">
        <v>0.115</v>
      </c>
      <c r="E6" s="36">
        <f>+D6*C6</f>
        <v>1472000</v>
      </c>
      <c r="F6" s="28">
        <f>'Get Rate for Iteration 4'!$B$4</f>
        <v>0.51393981855546123</v>
      </c>
      <c r="G6" s="28">
        <f t="shared" si="0"/>
        <v>-377306.41930995998</v>
      </c>
      <c r="H6" s="29">
        <f t="shared" si="1"/>
        <v>14770481.28175074</v>
      </c>
    </row>
    <row r="7" spans="1:8" x14ac:dyDescent="0.2">
      <c r="A7" s="35">
        <v>41078</v>
      </c>
      <c r="B7" s="36">
        <f>+D6*$C$2</f>
        <v>1472000</v>
      </c>
      <c r="C7" s="36">
        <v>12800000</v>
      </c>
      <c r="D7" s="36">
        <v>0.115</v>
      </c>
      <c r="E7" s="36">
        <f>+D7*C7</f>
        <v>1472000</v>
      </c>
      <c r="F7" s="28">
        <f>'Get Rate for Iteration 4'!$B$4</f>
        <v>0.51393981855546123</v>
      </c>
      <c r="G7" s="28">
        <f t="shared" si="0"/>
        <v>-425784.61747995298</v>
      </c>
      <c r="H7" s="29">
        <f t="shared" si="1"/>
        <v>15196265.899230693</v>
      </c>
    </row>
    <row r="8" spans="1:8" x14ac:dyDescent="0.2">
      <c r="A8" s="35">
        <v>41443</v>
      </c>
      <c r="B8" s="36">
        <f>+D7*$C$2</f>
        <v>1472000</v>
      </c>
      <c r="C8" s="36">
        <v>12800000</v>
      </c>
      <c r="D8" s="36">
        <v>0.115</v>
      </c>
      <c r="E8" s="36">
        <f>+D8*C8</f>
        <v>1472000</v>
      </c>
      <c r="F8" s="28">
        <f>'Get Rate for Iteration 4'!$B$4</f>
        <v>0.51393981855546123</v>
      </c>
      <c r="G8" s="28">
        <f t="shared" si="0"/>
        <v>-480491.53474279121</v>
      </c>
      <c r="H8" s="29">
        <f t="shared" si="1"/>
        <v>15676757.433973484</v>
      </c>
    </row>
    <row r="9" spans="1:8" x14ac:dyDescent="0.2">
      <c r="A9" s="8"/>
      <c r="B9" s="1"/>
      <c r="C9" s="1"/>
      <c r="D9" s="1"/>
      <c r="E9" s="1"/>
      <c r="F9" s="28"/>
      <c r="G9" s="28"/>
      <c r="H9" s="29"/>
    </row>
    <row r="10" spans="1:8" x14ac:dyDescent="0.2">
      <c r="A10" s="8"/>
      <c r="B10" s="1"/>
      <c r="C10" s="1"/>
      <c r="D10" s="1"/>
      <c r="E10" s="1"/>
      <c r="F10" s="28"/>
      <c r="G10" s="28"/>
      <c r="H10" s="29"/>
    </row>
    <row r="11" spans="1:8" x14ac:dyDescent="0.2">
      <c r="A11" s="8"/>
      <c r="B11" s="1"/>
      <c r="C11" s="1"/>
      <c r="D11" s="1"/>
      <c r="E11" s="1"/>
      <c r="F11" s="28"/>
      <c r="G11" s="28"/>
      <c r="H11" s="29"/>
    </row>
    <row r="12" spans="1:8" x14ac:dyDescent="0.2">
      <c r="A12" s="8"/>
      <c r="B12" s="1"/>
      <c r="C12" s="1"/>
      <c r="D12" s="1"/>
      <c r="E12" s="1"/>
      <c r="F12" s="28"/>
      <c r="G12" s="28"/>
      <c r="H12" s="29"/>
    </row>
    <row r="13" spans="1:8" x14ac:dyDescent="0.2">
      <c r="A13" s="8"/>
      <c r="B13" s="1"/>
      <c r="C13" s="1"/>
      <c r="D13" s="1"/>
      <c r="E13" s="1"/>
      <c r="F13" s="28"/>
      <c r="G13" s="28"/>
      <c r="H13" s="29"/>
    </row>
    <row r="14" spans="1:8" x14ac:dyDescent="0.2">
      <c r="A14" s="8"/>
      <c r="B14" s="1"/>
      <c r="C14" s="1"/>
      <c r="D14" s="1"/>
      <c r="E14" s="1"/>
      <c r="F14" s="28"/>
      <c r="G14" s="28"/>
      <c r="H14" s="29"/>
    </row>
    <row r="15" spans="1:8" x14ac:dyDescent="0.2">
      <c r="A15" s="8"/>
      <c r="B15" s="1"/>
      <c r="C15" s="1"/>
      <c r="D15" s="1"/>
      <c r="E15" s="1"/>
      <c r="F15" s="28"/>
      <c r="G15" s="28"/>
      <c r="H15" s="29"/>
    </row>
    <row r="16" spans="1:8" x14ac:dyDescent="0.2">
      <c r="A16" s="8"/>
      <c r="B16" s="1"/>
      <c r="C16" s="1"/>
      <c r="D16" s="1"/>
      <c r="E16" s="1"/>
      <c r="F16" s="28"/>
      <c r="G16" s="28"/>
      <c r="H16" s="29"/>
    </row>
    <row r="17" spans="1:8" x14ac:dyDescent="0.2">
      <c r="A17" s="8"/>
      <c r="B17" s="1"/>
      <c r="C17" s="1"/>
      <c r="D17" s="1"/>
      <c r="E17" s="1"/>
      <c r="F17" s="28"/>
      <c r="G17" s="28"/>
      <c r="H17" s="29"/>
    </row>
    <row r="18" spans="1:8" x14ac:dyDescent="0.2">
      <c r="A18" s="8"/>
      <c r="B18" s="1"/>
      <c r="C18" s="1"/>
      <c r="D18" s="1"/>
      <c r="E18" s="1"/>
      <c r="F18" s="28"/>
      <c r="G18" s="28"/>
      <c r="H18" s="29"/>
    </row>
    <row r="19" spans="1:8" x14ac:dyDescent="0.2">
      <c r="A19" s="8"/>
      <c r="B19" s="1"/>
      <c r="C19" s="1"/>
      <c r="D19" s="1"/>
      <c r="E19" s="1"/>
      <c r="F19" s="28"/>
      <c r="G19" s="28"/>
      <c r="H19" s="29"/>
    </row>
    <row r="20" spans="1:8" x14ac:dyDescent="0.2">
      <c r="A20" s="8"/>
      <c r="B20" s="1"/>
      <c r="C20" s="1"/>
      <c r="D20" s="1"/>
      <c r="E20" s="1"/>
      <c r="F20" s="28"/>
      <c r="G20" s="28"/>
      <c r="H20" s="29"/>
    </row>
    <row r="21" spans="1:8" x14ac:dyDescent="0.2">
      <c r="A21" s="8"/>
      <c r="B21" s="1"/>
      <c r="C21" s="1"/>
      <c r="D21" s="1"/>
      <c r="E21" s="1"/>
      <c r="F21" s="28"/>
      <c r="G21" s="28"/>
      <c r="H21" s="29"/>
    </row>
    <row r="22" spans="1:8" x14ac:dyDescent="0.2">
      <c r="A22" s="8"/>
      <c r="B22" s="1"/>
      <c r="C22" s="1"/>
      <c r="D22" s="1"/>
      <c r="E22" s="1"/>
      <c r="F22" s="28"/>
      <c r="G22" s="28"/>
      <c r="H22" s="29"/>
    </row>
    <row r="23" spans="1:8" x14ac:dyDescent="0.2">
      <c r="A23" s="8"/>
      <c r="B23" s="1"/>
      <c r="C23" s="1"/>
      <c r="D23" s="1"/>
      <c r="E23" s="1"/>
      <c r="F23" s="28"/>
      <c r="G23" s="28"/>
      <c r="H23" s="29"/>
    </row>
    <row r="24" spans="1:8" x14ac:dyDescent="0.2">
      <c r="A24" s="8"/>
      <c r="B24" s="1"/>
      <c r="C24" s="1"/>
      <c r="D24" s="1"/>
      <c r="E24" s="1"/>
      <c r="F24" s="28"/>
      <c r="G24" s="28"/>
      <c r="H24" s="29"/>
    </row>
    <row r="25" spans="1:8" x14ac:dyDescent="0.2">
      <c r="A25" s="8"/>
      <c r="B25" s="1"/>
      <c r="C25" s="1"/>
      <c r="D25" s="1"/>
      <c r="E25" s="1"/>
      <c r="F25" s="28"/>
      <c r="G25" s="28"/>
      <c r="H25" s="29"/>
    </row>
    <row r="26" spans="1:8" x14ac:dyDescent="0.2">
      <c r="A26" s="8"/>
      <c r="B26" s="1"/>
      <c r="C26" s="1"/>
      <c r="D26" s="1"/>
      <c r="E26" s="1"/>
      <c r="F26" s="28"/>
      <c r="G26" s="28"/>
      <c r="H26" s="29"/>
    </row>
    <row r="27" spans="1:8" x14ac:dyDescent="0.2">
      <c r="A27" s="8"/>
      <c r="B27" s="1"/>
      <c r="C27" s="1"/>
      <c r="D27" s="1"/>
      <c r="E27" s="1"/>
      <c r="F27" s="28"/>
      <c r="G27" s="28"/>
      <c r="H27" s="29"/>
    </row>
    <row r="28" spans="1:8" x14ac:dyDescent="0.2">
      <c r="A28" s="8"/>
      <c r="B28" s="1"/>
      <c r="C28" s="1"/>
      <c r="D28" s="1"/>
      <c r="E28" s="1"/>
      <c r="F28" s="28"/>
      <c r="G28" s="28"/>
      <c r="H28" s="29"/>
    </row>
    <row r="29" spans="1:8" x14ac:dyDescent="0.2">
      <c r="A29" s="8"/>
      <c r="B29" s="1"/>
      <c r="C29" s="1"/>
      <c r="D29" s="1"/>
      <c r="E29" s="1"/>
      <c r="F29" s="28"/>
      <c r="G29" s="28"/>
      <c r="H29" s="29"/>
    </row>
    <row r="30" spans="1:8" x14ac:dyDescent="0.2">
      <c r="A30" s="8"/>
      <c r="B30" s="1"/>
      <c r="C30" s="1"/>
      <c r="D30" s="1"/>
      <c r="E30" s="1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H8-C2</f>
        <v>2876757.4339734837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C8"/>
  <sheetViews>
    <sheetView workbookViewId="0">
      <selection activeCell="N36" sqref="N36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0.38660858738360782</v>
      </c>
      <c r="C4" t="s">
        <v>12</v>
      </c>
    </row>
    <row r="5" spans="1:3" x14ac:dyDescent="0.2">
      <c r="A5" s="5" t="s">
        <v>3</v>
      </c>
      <c r="B5">
        <f>'Iteration 4 '!F2</f>
        <v>0.51393981855546123</v>
      </c>
      <c r="C5" t="s">
        <v>8</v>
      </c>
    </row>
    <row r="6" spans="1:3" x14ac:dyDescent="0.2">
      <c r="A6" s="5" t="s">
        <v>4</v>
      </c>
      <c r="B6">
        <f>'Iteration 3'!F2</f>
        <v>8.7499999999999994E-2</v>
      </c>
      <c r="C6" t="s">
        <v>9</v>
      </c>
    </row>
    <row r="7" spans="1:3" x14ac:dyDescent="0.2">
      <c r="A7" s="5" t="s">
        <v>6</v>
      </c>
      <c r="B7" s="2">
        <f>'Iteration 4 '!G34</f>
        <v>2876757.4339734837</v>
      </c>
      <c r="C7" t="s">
        <v>10</v>
      </c>
    </row>
    <row r="8" spans="1:3" x14ac:dyDescent="0.2">
      <c r="A8" s="5" t="s">
        <v>7</v>
      </c>
      <c r="B8" s="2">
        <f>'Iteration 3'!G34</f>
        <v>-6757673.230692097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zoomScaleNormal="100" workbookViewId="0">
      <selection activeCell="A9" sqref="A9:H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5">
        <v>39251</v>
      </c>
      <c r="B2" s="36">
        <v>-13500000</v>
      </c>
      <c r="C2" s="36">
        <v>12800000</v>
      </c>
      <c r="D2" s="36">
        <v>0.115</v>
      </c>
      <c r="E2" s="36" t="s">
        <v>1</v>
      </c>
      <c r="F2" s="28">
        <f>'Get Rate for Iteration 5'!$B$4</f>
        <v>0.38660858738360782</v>
      </c>
      <c r="G2" s="28"/>
      <c r="H2" s="29">
        <f>+B2*-1</f>
        <v>13500000</v>
      </c>
    </row>
    <row r="3" spans="1:8" x14ac:dyDescent="0.2">
      <c r="A3" s="35">
        <v>39617</v>
      </c>
      <c r="B3" s="36">
        <f>+D2*$C$2</f>
        <v>1472000</v>
      </c>
      <c r="C3" s="36">
        <v>12800000</v>
      </c>
      <c r="D3" s="36">
        <v>0.115</v>
      </c>
      <c r="E3" s="36">
        <f>+D3*C3</f>
        <v>1472000</v>
      </c>
      <c r="F3" s="28">
        <f>'Get Rate for Iteration 5'!$B$4</f>
        <v>0.38660858738360782</v>
      </c>
      <c r="G3" s="28">
        <f>E3-((H2*0.25*F3))</f>
        <v>167196.01758032362</v>
      </c>
      <c r="H3" s="29">
        <f>+H2-G3</f>
        <v>13332803.982419677</v>
      </c>
    </row>
    <row r="4" spans="1:8" x14ac:dyDescent="0.2">
      <c r="A4" s="35">
        <v>39982</v>
      </c>
      <c r="B4" s="36">
        <f>+D3*$C$2</f>
        <v>1472000</v>
      </c>
      <c r="C4" s="36">
        <v>12800000</v>
      </c>
      <c r="D4" s="36">
        <v>0.115</v>
      </c>
      <c r="E4" s="36">
        <f>+D4*C4</f>
        <v>1472000</v>
      </c>
      <c r="F4" s="28">
        <f>'Get Rate for Iteration 5'!$B$4</f>
        <v>0.38660858738360782</v>
      </c>
      <c r="G4" s="28">
        <f t="shared" ref="G4:G30" si="0">E4-((H3*0.25*F4))</f>
        <v>183355.87162354705</v>
      </c>
      <c r="H4" s="29">
        <f t="shared" ref="H4:H30" si="1">+H3-G4</f>
        <v>13149448.110796129</v>
      </c>
    </row>
    <row r="5" spans="1:8" x14ac:dyDescent="0.2">
      <c r="A5" s="35">
        <v>40347</v>
      </c>
      <c r="B5" s="36">
        <f>+D4*$C$2</f>
        <v>1472000</v>
      </c>
      <c r="C5" s="36">
        <v>12800000</v>
      </c>
      <c r="D5" s="36">
        <v>0.115</v>
      </c>
      <c r="E5" s="36">
        <f>+D5*C5</f>
        <v>1472000</v>
      </c>
      <c r="F5" s="28">
        <f>'Get Rate for Iteration 5'!$B$4</f>
        <v>0.38660858738360782</v>
      </c>
      <c r="G5" s="28">
        <f t="shared" si="0"/>
        <v>201077.61025276454</v>
      </c>
      <c r="H5" s="29">
        <f t="shared" si="1"/>
        <v>12948370.500543365</v>
      </c>
    </row>
    <row r="6" spans="1:8" x14ac:dyDescent="0.2">
      <c r="A6" s="35">
        <v>40712</v>
      </c>
      <c r="B6" s="36">
        <f>+D5*$C$2</f>
        <v>1472000</v>
      </c>
      <c r="C6" s="36">
        <v>12800000</v>
      </c>
      <c r="D6" s="36">
        <v>0.115</v>
      </c>
      <c r="E6" s="36">
        <f>+D6*C6</f>
        <v>1472000</v>
      </c>
      <c r="F6" s="28">
        <f>'Get Rate for Iteration 5'!$B$4</f>
        <v>0.38660858738360782</v>
      </c>
      <c r="G6" s="28">
        <f t="shared" si="0"/>
        <v>220512.19296633778</v>
      </c>
      <c r="H6" s="29">
        <f t="shared" si="1"/>
        <v>12727858.307577027</v>
      </c>
    </row>
    <row r="7" spans="1:8" x14ac:dyDescent="0.2">
      <c r="A7" s="35">
        <v>41078</v>
      </c>
      <c r="B7" s="36">
        <f>+D6*$C$2</f>
        <v>1472000</v>
      </c>
      <c r="C7" s="36">
        <v>12800000</v>
      </c>
      <c r="D7" s="36">
        <v>0.115</v>
      </c>
      <c r="E7" s="36">
        <f>+D7*C7</f>
        <v>1472000</v>
      </c>
      <c r="F7" s="28">
        <f>'Get Rate for Iteration 5'!$B$4</f>
        <v>0.38660858738360782</v>
      </c>
      <c r="G7" s="28">
        <f t="shared" si="0"/>
        <v>241825.1698222321</v>
      </c>
      <c r="H7" s="29">
        <f t="shared" si="1"/>
        <v>12486033.137754794</v>
      </c>
    </row>
    <row r="8" spans="1:8" x14ac:dyDescent="0.2">
      <c r="A8" s="35">
        <v>41443</v>
      </c>
      <c r="B8" s="36">
        <f>+D7*$C$2</f>
        <v>1472000</v>
      </c>
      <c r="C8" s="36">
        <v>12800000</v>
      </c>
      <c r="D8" s="36">
        <v>0.115</v>
      </c>
      <c r="E8" s="36">
        <f>+D8*C8</f>
        <v>1472000</v>
      </c>
      <c r="F8" s="28">
        <f>'Get Rate for Iteration 5'!$B$4</f>
        <v>0.38660858738360782</v>
      </c>
      <c r="G8" s="28">
        <f t="shared" si="0"/>
        <v>265198.09164692578</v>
      </c>
      <c r="H8" s="29">
        <f t="shared" si="1"/>
        <v>12220835.046107868</v>
      </c>
    </row>
    <row r="9" spans="1:8" x14ac:dyDescent="0.2">
      <c r="A9" s="8"/>
      <c r="B9" s="1"/>
      <c r="C9" s="1"/>
      <c r="D9" s="1"/>
      <c r="E9" s="1"/>
      <c r="F9" s="28"/>
      <c r="G9" s="28"/>
      <c r="H9" s="29"/>
    </row>
    <row r="10" spans="1:8" x14ac:dyDescent="0.2">
      <c r="A10" s="8"/>
      <c r="B10" s="1"/>
      <c r="C10" s="1"/>
      <c r="D10" s="1"/>
      <c r="E10" s="1"/>
      <c r="F10" s="28"/>
      <c r="G10" s="28"/>
      <c r="H10" s="29"/>
    </row>
    <row r="11" spans="1:8" x14ac:dyDescent="0.2">
      <c r="A11" s="8"/>
      <c r="B11" s="1"/>
      <c r="C11" s="1"/>
      <c r="D11" s="1"/>
      <c r="E11" s="1"/>
      <c r="F11" s="28"/>
      <c r="G11" s="28"/>
      <c r="H11" s="29"/>
    </row>
    <row r="12" spans="1:8" x14ac:dyDescent="0.2">
      <c r="A12" s="8"/>
      <c r="B12" s="1"/>
      <c r="C12" s="1"/>
      <c r="D12" s="1"/>
      <c r="E12" s="1"/>
      <c r="F12" s="28"/>
      <c r="G12" s="28"/>
      <c r="H12" s="29"/>
    </row>
    <row r="13" spans="1:8" x14ac:dyDescent="0.2">
      <c r="A13" s="8"/>
      <c r="B13" s="1"/>
      <c r="C13" s="1"/>
      <c r="D13" s="1"/>
      <c r="E13" s="1"/>
      <c r="F13" s="28"/>
      <c r="G13" s="28"/>
      <c r="H13" s="29"/>
    </row>
    <row r="14" spans="1:8" x14ac:dyDescent="0.2">
      <c r="A14" s="8"/>
      <c r="B14" s="1"/>
      <c r="C14" s="1"/>
      <c r="D14" s="1"/>
      <c r="E14" s="1"/>
      <c r="F14" s="28"/>
      <c r="G14" s="28"/>
      <c r="H14" s="29"/>
    </row>
    <row r="15" spans="1:8" x14ac:dyDescent="0.2">
      <c r="A15" s="8"/>
      <c r="B15" s="1"/>
      <c r="C15" s="1"/>
      <c r="D15" s="1"/>
      <c r="E15" s="1"/>
      <c r="F15" s="28"/>
      <c r="G15" s="28"/>
      <c r="H15" s="29"/>
    </row>
    <row r="16" spans="1:8" x14ac:dyDescent="0.2">
      <c r="A16" s="8"/>
      <c r="B16" s="1"/>
      <c r="C16" s="1"/>
      <c r="D16" s="1"/>
      <c r="E16" s="1"/>
      <c r="F16" s="28"/>
      <c r="G16" s="28"/>
      <c r="H16" s="29"/>
    </row>
    <row r="17" spans="1:8" x14ac:dyDescent="0.2">
      <c r="A17" s="8"/>
      <c r="B17" s="1"/>
      <c r="C17" s="1"/>
      <c r="D17" s="1"/>
      <c r="E17" s="1"/>
      <c r="F17" s="28"/>
      <c r="G17" s="28"/>
      <c r="H17" s="29"/>
    </row>
    <row r="18" spans="1:8" x14ac:dyDescent="0.2">
      <c r="A18" s="8"/>
      <c r="B18" s="1"/>
      <c r="C18" s="1"/>
      <c r="D18" s="1"/>
      <c r="E18" s="1"/>
      <c r="F18" s="28"/>
      <c r="G18" s="28"/>
      <c r="H18" s="29"/>
    </row>
    <row r="19" spans="1:8" x14ac:dyDescent="0.2">
      <c r="A19" s="8"/>
      <c r="B19" s="1"/>
      <c r="C19" s="1"/>
      <c r="D19" s="1"/>
      <c r="E19" s="1"/>
      <c r="F19" s="28"/>
      <c r="G19" s="28"/>
      <c r="H19" s="29"/>
    </row>
    <row r="20" spans="1:8" x14ac:dyDescent="0.2">
      <c r="A20" s="8"/>
      <c r="B20" s="1"/>
      <c r="C20" s="1"/>
      <c r="D20" s="1"/>
      <c r="E20" s="1"/>
      <c r="F20" s="28"/>
      <c r="G20" s="28"/>
      <c r="H20" s="29"/>
    </row>
    <row r="21" spans="1:8" x14ac:dyDescent="0.2">
      <c r="A21" s="8"/>
      <c r="B21" s="1"/>
      <c r="C21" s="1"/>
      <c r="D21" s="1"/>
      <c r="E21" s="1"/>
      <c r="F21" s="28"/>
      <c r="G21" s="28"/>
      <c r="H21" s="29"/>
    </row>
    <row r="22" spans="1:8" x14ac:dyDescent="0.2">
      <c r="A22" s="8"/>
      <c r="B22" s="1"/>
      <c r="C22" s="1"/>
      <c r="D22" s="1"/>
      <c r="E22" s="1"/>
      <c r="F22" s="28"/>
      <c r="G22" s="28"/>
      <c r="H22" s="29"/>
    </row>
    <row r="23" spans="1:8" x14ac:dyDescent="0.2">
      <c r="A23" s="8"/>
      <c r="B23" s="1"/>
      <c r="C23" s="1"/>
      <c r="D23" s="1"/>
      <c r="E23" s="1"/>
      <c r="F23" s="28"/>
      <c r="G23" s="28"/>
      <c r="H23" s="29"/>
    </row>
    <row r="24" spans="1:8" x14ac:dyDescent="0.2">
      <c r="A24" s="8"/>
      <c r="B24" s="1"/>
      <c r="C24" s="1"/>
      <c r="D24" s="1"/>
      <c r="E24" s="1"/>
      <c r="F24" s="28"/>
      <c r="G24" s="28"/>
      <c r="H24" s="29"/>
    </row>
    <row r="25" spans="1:8" x14ac:dyDescent="0.2">
      <c r="A25" s="8"/>
      <c r="B25" s="1"/>
      <c r="C25" s="1"/>
      <c r="D25" s="1"/>
      <c r="E25" s="1"/>
      <c r="F25" s="28"/>
      <c r="G25" s="28"/>
      <c r="H25" s="29"/>
    </row>
    <row r="26" spans="1:8" x14ac:dyDescent="0.2">
      <c r="A26" s="8"/>
      <c r="B26" s="1"/>
      <c r="C26" s="1"/>
      <c r="D26" s="1"/>
      <c r="E26" s="1"/>
      <c r="F26" s="28"/>
      <c r="G26" s="28"/>
      <c r="H26" s="29"/>
    </row>
    <row r="27" spans="1:8" x14ac:dyDescent="0.2">
      <c r="A27" s="8"/>
      <c r="B27" s="1"/>
      <c r="C27" s="1"/>
      <c r="D27" s="1"/>
      <c r="E27" s="1"/>
      <c r="F27" s="28"/>
      <c r="G27" s="28"/>
      <c r="H27" s="29"/>
    </row>
    <row r="28" spans="1:8" x14ac:dyDescent="0.2">
      <c r="A28" s="8"/>
      <c r="B28" s="1"/>
      <c r="C28" s="1"/>
      <c r="D28" s="1"/>
      <c r="E28" s="1"/>
      <c r="F28" s="28"/>
      <c r="G28" s="28"/>
      <c r="H28" s="29"/>
    </row>
    <row r="29" spans="1:8" x14ac:dyDescent="0.2">
      <c r="A29" s="8"/>
      <c r="B29" s="1"/>
      <c r="C29" s="1"/>
      <c r="D29" s="1"/>
      <c r="E29" s="1"/>
      <c r="F29" s="28"/>
      <c r="G29" s="28"/>
      <c r="H29" s="29"/>
    </row>
    <row r="30" spans="1:8" x14ac:dyDescent="0.2">
      <c r="A30" s="8"/>
      <c r="B30" s="1"/>
      <c r="C30" s="1"/>
      <c r="D30" s="1"/>
      <c r="E30" s="1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H8-C2</f>
        <v>-579164.95389213227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zoomScaleNormal="100" workbookViewId="0">
      <selection activeCell="E38" sqref="E38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0.40794754652505438</v>
      </c>
      <c r="C4" t="s">
        <v>12</v>
      </c>
    </row>
    <row r="5" spans="1:3" x14ac:dyDescent="0.2">
      <c r="A5" s="5" t="s">
        <v>3</v>
      </c>
      <c r="B5">
        <f>'Iteration 5'!F2</f>
        <v>0.38660858738360782</v>
      </c>
      <c r="C5" t="s">
        <v>8</v>
      </c>
    </row>
    <row r="6" spans="1:3" x14ac:dyDescent="0.2">
      <c r="A6" s="5" t="s">
        <v>4</v>
      </c>
      <c r="B6">
        <f>'Iteration 4 '!F2</f>
        <v>0.51393981855546123</v>
      </c>
      <c r="C6" t="s">
        <v>9</v>
      </c>
    </row>
    <row r="7" spans="1:3" x14ac:dyDescent="0.2">
      <c r="A7" s="5" t="s">
        <v>6</v>
      </c>
      <c r="B7" s="2">
        <f>'Iteration 5'!G34</f>
        <v>-579164.95389213227</v>
      </c>
      <c r="C7" t="s">
        <v>10</v>
      </c>
    </row>
    <row r="8" spans="1:3" x14ac:dyDescent="0.2">
      <c r="A8" s="5" t="s">
        <v>7</v>
      </c>
      <c r="B8" s="2">
        <f>'Iteration 4 '!G34</f>
        <v>2876757.4339734837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A9" sqref="A9:H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5">
        <v>39251</v>
      </c>
      <c r="B2" s="36">
        <v>-13500000</v>
      </c>
      <c r="C2" s="36">
        <v>12800000</v>
      </c>
      <c r="D2" s="36">
        <v>0.115</v>
      </c>
      <c r="E2" s="36" t="s">
        <v>1</v>
      </c>
      <c r="F2" s="28">
        <f>'Get Rate for Iteration 6'!$B$4</f>
        <v>0.40794754652505438</v>
      </c>
      <c r="G2" s="28"/>
      <c r="H2" s="29">
        <f>+B2*-1</f>
        <v>13500000</v>
      </c>
    </row>
    <row r="3" spans="1:8" x14ac:dyDescent="0.2">
      <c r="A3" s="35">
        <v>39617</v>
      </c>
      <c r="B3" s="36">
        <f>+D2*$C$2</f>
        <v>1472000</v>
      </c>
      <c r="C3" s="36">
        <v>12800000</v>
      </c>
      <c r="D3" s="36">
        <v>0.115</v>
      </c>
      <c r="E3" s="36">
        <f>+D3*C3</f>
        <v>1472000</v>
      </c>
      <c r="F3" s="28">
        <f>'Get Rate for Iteration 6'!$B$4</f>
        <v>0.40794754652505438</v>
      </c>
      <c r="G3" s="28">
        <f>E3-((H2*0.25*F3))</f>
        <v>95177.030477941502</v>
      </c>
      <c r="H3" s="29">
        <f>+H2-G3</f>
        <v>13404822.969522059</v>
      </c>
    </row>
    <row r="4" spans="1:8" x14ac:dyDescent="0.2">
      <c r="A4" s="35">
        <v>39982</v>
      </c>
      <c r="B4" s="36">
        <f>+D3*$C$2</f>
        <v>1472000</v>
      </c>
      <c r="C4" s="36">
        <v>12800000</v>
      </c>
      <c r="D4" s="36">
        <v>0.115</v>
      </c>
      <c r="E4" s="36">
        <f>+D4*C4</f>
        <v>1472000</v>
      </c>
      <c r="F4" s="28">
        <f>'Get Rate for Iteration 6'!$B$4</f>
        <v>0.40794754652505438</v>
      </c>
      <c r="G4" s="28">
        <f t="shared" ref="G4:G30" si="0">E4-((H3*0.25*F4))</f>
        <v>104883.83949519554</v>
      </c>
      <c r="H4" s="29">
        <f t="shared" ref="H4:H30" si="1">+H3-G4</f>
        <v>13299939.130026864</v>
      </c>
    </row>
    <row r="5" spans="1:8" x14ac:dyDescent="0.2">
      <c r="A5" s="35">
        <v>40347</v>
      </c>
      <c r="B5" s="36">
        <f>+D4*$C$2</f>
        <v>1472000</v>
      </c>
      <c r="C5" s="36">
        <v>12800000</v>
      </c>
      <c r="D5" s="36">
        <v>0.115</v>
      </c>
      <c r="E5" s="36">
        <f>+D5*C5</f>
        <v>1472000</v>
      </c>
      <c r="F5" s="28">
        <f>'Get Rate for Iteration 6'!$B$4</f>
        <v>0.40794754652505438</v>
      </c>
      <c r="G5" s="28">
        <f t="shared" si="0"/>
        <v>115580.6157432436</v>
      </c>
      <c r="H5" s="29">
        <f t="shared" si="1"/>
        <v>13184358.51428362</v>
      </c>
    </row>
    <row r="6" spans="1:8" x14ac:dyDescent="0.2">
      <c r="A6" s="35">
        <v>40712</v>
      </c>
      <c r="B6" s="36">
        <f>+D5*$C$2</f>
        <v>1472000</v>
      </c>
      <c r="C6" s="36">
        <v>12800000</v>
      </c>
      <c r="D6" s="36">
        <v>0.115</v>
      </c>
      <c r="E6" s="36">
        <f>+D6*C6</f>
        <v>1472000</v>
      </c>
      <c r="F6" s="28">
        <f>'Get Rate for Iteration 6'!$B$4</f>
        <v>0.40794754652505438</v>
      </c>
      <c r="G6" s="28">
        <f t="shared" si="0"/>
        <v>127368.32289782143</v>
      </c>
      <c r="H6" s="29">
        <f t="shared" si="1"/>
        <v>13056990.191385798</v>
      </c>
    </row>
    <row r="7" spans="1:8" x14ac:dyDescent="0.2">
      <c r="A7" s="35">
        <v>41078</v>
      </c>
      <c r="B7" s="36">
        <f>+D6*$C$2</f>
        <v>1472000</v>
      </c>
      <c r="C7" s="36">
        <v>12800000</v>
      </c>
      <c r="D7" s="36">
        <v>0.115</v>
      </c>
      <c r="E7" s="36">
        <f>+D7*C7</f>
        <v>1472000</v>
      </c>
      <c r="F7" s="28">
        <f>'Get Rate for Iteration 6'!$B$4</f>
        <v>0.40794754652505438</v>
      </c>
      <c r="G7" s="28">
        <f t="shared" si="0"/>
        <v>140358.22160561592</v>
      </c>
      <c r="H7" s="29">
        <f t="shared" si="1"/>
        <v>12916631.969780182</v>
      </c>
    </row>
    <row r="8" spans="1:8" x14ac:dyDescent="0.2">
      <c r="A8" s="35">
        <v>41443</v>
      </c>
      <c r="B8" s="36">
        <f>+D7*$C$2</f>
        <v>1472000</v>
      </c>
      <c r="C8" s="36">
        <v>12800000</v>
      </c>
      <c r="D8" s="36">
        <v>0.115</v>
      </c>
      <c r="E8" s="36">
        <f>+D8*C8</f>
        <v>1472000</v>
      </c>
      <c r="F8" s="28">
        <f>'Get Rate for Iteration 6'!$B$4</f>
        <v>0.40794754652505438</v>
      </c>
      <c r="G8" s="28">
        <f t="shared" si="0"/>
        <v>154672.91964027355</v>
      </c>
      <c r="H8" s="29">
        <f t="shared" si="1"/>
        <v>12761959.05013991</v>
      </c>
    </row>
    <row r="9" spans="1:8" x14ac:dyDescent="0.2">
      <c r="A9" s="8"/>
      <c r="B9" s="1"/>
      <c r="C9" s="1"/>
      <c r="D9" s="1"/>
      <c r="E9" s="1"/>
      <c r="F9" s="28"/>
      <c r="G9" s="28"/>
      <c r="H9" s="29"/>
    </row>
    <row r="10" spans="1:8" x14ac:dyDescent="0.2">
      <c r="A10" s="8"/>
      <c r="B10" s="1"/>
      <c r="C10" s="1"/>
      <c r="D10" s="1"/>
      <c r="E10" s="1"/>
      <c r="F10" s="28"/>
      <c r="G10" s="28"/>
      <c r="H10" s="29"/>
    </row>
    <row r="11" spans="1:8" x14ac:dyDescent="0.2">
      <c r="A11" s="8"/>
      <c r="B11" s="1"/>
      <c r="C11" s="1"/>
      <c r="D11" s="1"/>
      <c r="E11" s="1"/>
      <c r="F11" s="28"/>
      <c r="G11" s="28"/>
      <c r="H11" s="29"/>
    </row>
    <row r="12" spans="1:8" x14ac:dyDescent="0.2">
      <c r="A12" s="8"/>
      <c r="B12" s="1"/>
      <c r="C12" s="1"/>
      <c r="D12" s="1"/>
      <c r="E12" s="1"/>
      <c r="F12" s="28"/>
      <c r="G12" s="28"/>
      <c r="H12" s="29"/>
    </row>
    <row r="13" spans="1:8" x14ac:dyDescent="0.2">
      <c r="A13" s="8"/>
      <c r="B13" s="1"/>
      <c r="C13" s="1"/>
      <c r="D13" s="1"/>
      <c r="E13" s="1"/>
      <c r="F13" s="28"/>
      <c r="G13" s="28"/>
      <c r="H13" s="29"/>
    </row>
    <row r="14" spans="1:8" x14ac:dyDescent="0.2">
      <c r="A14" s="8"/>
      <c r="B14" s="1"/>
      <c r="C14" s="1"/>
      <c r="D14" s="1"/>
      <c r="E14" s="1"/>
      <c r="F14" s="28"/>
      <c r="G14" s="28"/>
      <c r="H14" s="29"/>
    </row>
    <row r="15" spans="1:8" x14ac:dyDescent="0.2">
      <c r="A15" s="8"/>
      <c r="B15" s="1"/>
      <c r="C15" s="1"/>
      <c r="D15" s="1"/>
      <c r="E15" s="1"/>
      <c r="F15" s="28"/>
      <c r="G15" s="28"/>
      <c r="H15" s="29"/>
    </row>
    <row r="16" spans="1:8" x14ac:dyDescent="0.2">
      <c r="A16" s="8"/>
      <c r="B16" s="1"/>
      <c r="C16" s="1"/>
      <c r="D16" s="1"/>
      <c r="E16" s="1"/>
      <c r="F16" s="28"/>
      <c r="G16" s="28"/>
      <c r="H16" s="29"/>
    </row>
    <row r="17" spans="1:8" x14ac:dyDescent="0.2">
      <c r="A17" s="8"/>
      <c r="B17" s="1"/>
      <c r="C17" s="1"/>
      <c r="D17" s="1"/>
      <c r="E17" s="1"/>
      <c r="F17" s="28"/>
      <c r="G17" s="28"/>
      <c r="H17" s="29"/>
    </row>
    <row r="18" spans="1:8" x14ac:dyDescent="0.2">
      <c r="A18" s="8"/>
      <c r="B18" s="1"/>
      <c r="C18" s="1"/>
      <c r="D18" s="1"/>
      <c r="E18" s="1"/>
      <c r="F18" s="28"/>
      <c r="G18" s="28"/>
      <c r="H18" s="29"/>
    </row>
    <row r="19" spans="1:8" x14ac:dyDescent="0.2">
      <c r="A19" s="8"/>
      <c r="B19" s="1"/>
      <c r="C19" s="1"/>
      <c r="D19" s="1"/>
      <c r="E19" s="1"/>
      <c r="F19" s="28"/>
      <c r="G19" s="28"/>
      <c r="H19" s="29"/>
    </row>
    <row r="20" spans="1:8" x14ac:dyDescent="0.2">
      <c r="A20" s="8"/>
      <c r="B20" s="1"/>
      <c r="C20" s="1"/>
      <c r="D20" s="1"/>
      <c r="E20" s="1"/>
      <c r="F20" s="28"/>
      <c r="G20" s="28"/>
      <c r="H20" s="29"/>
    </row>
    <row r="21" spans="1:8" x14ac:dyDescent="0.2">
      <c r="A21" s="8"/>
      <c r="B21" s="1"/>
      <c r="C21" s="1"/>
      <c r="D21" s="1"/>
      <c r="E21" s="1"/>
      <c r="F21" s="28"/>
      <c r="G21" s="28"/>
      <c r="H21" s="29"/>
    </row>
    <row r="22" spans="1:8" x14ac:dyDescent="0.2">
      <c r="A22" s="8"/>
      <c r="B22" s="1"/>
      <c r="C22" s="1"/>
      <c r="D22" s="1"/>
      <c r="E22" s="1"/>
      <c r="F22" s="28"/>
      <c r="G22" s="28"/>
      <c r="H22" s="29"/>
    </row>
    <row r="23" spans="1:8" x14ac:dyDescent="0.2">
      <c r="A23" s="8"/>
      <c r="B23" s="1"/>
      <c r="C23" s="1"/>
      <c r="D23" s="1"/>
      <c r="E23" s="1"/>
      <c r="F23" s="28"/>
      <c r="G23" s="28"/>
      <c r="H23" s="29"/>
    </row>
    <row r="24" spans="1:8" x14ac:dyDescent="0.2">
      <c r="A24" s="8"/>
      <c r="B24" s="1"/>
      <c r="C24" s="1"/>
      <c r="D24" s="1"/>
      <c r="E24" s="1"/>
      <c r="F24" s="28"/>
      <c r="G24" s="28"/>
      <c r="H24" s="29"/>
    </row>
    <row r="25" spans="1:8" x14ac:dyDescent="0.2">
      <c r="A25" s="8"/>
      <c r="B25" s="1"/>
      <c r="C25" s="1"/>
      <c r="D25" s="1"/>
      <c r="E25" s="1"/>
      <c r="F25" s="28"/>
      <c r="G25" s="28"/>
      <c r="H25" s="29"/>
    </row>
    <row r="26" spans="1:8" x14ac:dyDescent="0.2">
      <c r="A26" s="8"/>
      <c r="B26" s="1"/>
      <c r="C26" s="1"/>
      <c r="D26" s="1"/>
      <c r="E26" s="1"/>
      <c r="F26" s="28"/>
      <c r="G26" s="28"/>
      <c r="H26" s="29"/>
    </row>
    <row r="27" spans="1:8" x14ac:dyDescent="0.2">
      <c r="A27" s="8"/>
      <c r="B27" s="1"/>
      <c r="C27" s="1"/>
      <c r="D27" s="1"/>
      <c r="E27" s="1"/>
      <c r="F27" s="28"/>
      <c r="G27" s="28"/>
      <c r="H27" s="29"/>
    </row>
    <row r="28" spans="1:8" x14ac:dyDescent="0.2">
      <c r="A28" s="8"/>
      <c r="B28" s="1"/>
      <c r="C28" s="1"/>
      <c r="D28" s="1"/>
      <c r="E28" s="1"/>
      <c r="F28" s="28"/>
      <c r="G28" s="28"/>
      <c r="H28" s="29"/>
    </row>
    <row r="29" spans="1:8" x14ac:dyDescent="0.2">
      <c r="A29" s="8"/>
      <c r="B29" s="1"/>
      <c r="C29" s="1"/>
      <c r="D29" s="1"/>
      <c r="E29" s="1"/>
      <c r="F29" s="28"/>
      <c r="G29" s="28"/>
      <c r="H29" s="29"/>
    </row>
    <row r="30" spans="1:8" x14ac:dyDescent="0.2">
      <c r="A30" s="8"/>
      <c r="B30" s="1"/>
      <c r="C30" s="1"/>
      <c r="D30" s="1"/>
      <c r="E30" s="1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H8-C2</f>
        <v>-38040.94986009039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workbookViewId="0">
      <selection activeCell="L41" sqref="L41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0.40944767268600402</v>
      </c>
      <c r="C4" t="s">
        <v>12</v>
      </c>
    </row>
    <row r="5" spans="1:3" x14ac:dyDescent="0.2">
      <c r="A5" s="5" t="s">
        <v>3</v>
      </c>
      <c r="B5">
        <f>'Iteration 6'!F2</f>
        <v>0.40794754652505438</v>
      </c>
      <c r="C5" t="s">
        <v>8</v>
      </c>
    </row>
    <row r="6" spans="1:3" x14ac:dyDescent="0.2">
      <c r="A6" s="5" t="s">
        <v>4</v>
      </c>
      <c r="B6">
        <f>'Iteration 5'!F2</f>
        <v>0.38660858738360782</v>
      </c>
      <c r="C6" t="s">
        <v>9</v>
      </c>
    </row>
    <row r="7" spans="1:3" x14ac:dyDescent="0.2">
      <c r="A7" s="5" t="s">
        <v>6</v>
      </c>
      <c r="B7" s="2">
        <f>'Iteration 6'!G34</f>
        <v>-38040.94986009039</v>
      </c>
      <c r="C7" t="s">
        <v>10</v>
      </c>
    </row>
    <row r="8" spans="1:3" x14ac:dyDescent="0.2">
      <c r="A8" s="5" t="s">
        <v>7</v>
      </c>
      <c r="B8" s="2">
        <f>'Iteration 5'!G34</f>
        <v>-579164.95389213227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A9" sqref="A9:H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5">
        <v>39251</v>
      </c>
      <c r="B2" s="36">
        <v>-13500000</v>
      </c>
      <c r="C2" s="36">
        <v>12800000</v>
      </c>
      <c r="D2" s="36">
        <v>0.115</v>
      </c>
      <c r="E2" s="36" t="s">
        <v>1</v>
      </c>
      <c r="F2" s="28">
        <f>'Get Rate for Iteration 7 '!$B$4</f>
        <v>0.40944767268600402</v>
      </c>
      <c r="G2" s="28"/>
      <c r="H2" s="29">
        <f>+B2*-1</f>
        <v>13500000</v>
      </c>
    </row>
    <row r="3" spans="1:8" x14ac:dyDescent="0.2">
      <c r="A3" s="35">
        <v>39617</v>
      </c>
      <c r="B3" s="36">
        <f>+D2*$C$2</f>
        <v>1472000</v>
      </c>
      <c r="C3" s="36">
        <v>12800000</v>
      </c>
      <c r="D3" s="36">
        <v>0.115</v>
      </c>
      <c r="E3" s="36">
        <f>+D3*C3</f>
        <v>1472000</v>
      </c>
      <c r="F3" s="28">
        <f>'Get Rate for Iteration 7 '!$B$4</f>
        <v>0.40944767268600402</v>
      </c>
      <c r="G3" s="28">
        <f>E3-((H2*0.25*F3))</f>
        <v>90114.104684736347</v>
      </c>
      <c r="H3" s="29">
        <f>+H2-G3</f>
        <v>13409885.895315263</v>
      </c>
    </row>
    <row r="4" spans="1:8" x14ac:dyDescent="0.2">
      <c r="A4" s="35">
        <v>39982</v>
      </c>
      <c r="B4" s="36">
        <f>+D3*$C$2</f>
        <v>1472000</v>
      </c>
      <c r="C4" s="36">
        <v>12800000</v>
      </c>
      <c r="D4" s="36">
        <v>0.115</v>
      </c>
      <c r="E4" s="36">
        <f>+D4*C4</f>
        <v>1472000</v>
      </c>
      <c r="F4" s="28">
        <f>'Get Rate for Iteration 7 '!$B$4</f>
        <v>0.40944767268600402</v>
      </c>
      <c r="G4" s="28">
        <f t="shared" ref="G4:G30" si="0">E4-((H3*0.25*F4))</f>
        <v>99338.357294573449</v>
      </c>
      <c r="H4" s="29">
        <f t="shared" ref="H4:H30" si="1">+H3-G4</f>
        <v>13310547.538020689</v>
      </c>
    </row>
    <row r="5" spans="1:8" x14ac:dyDescent="0.2">
      <c r="A5" s="35">
        <v>40347</v>
      </c>
      <c r="B5" s="36">
        <f>+D4*$C$2</f>
        <v>1472000</v>
      </c>
      <c r="C5" s="36">
        <v>12800000</v>
      </c>
      <c r="D5" s="36">
        <v>0.115</v>
      </c>
      <c r="E5" s="36">
        <f>+D5*C5</f>
        <v>1472000</v>
      </c>
      <c r="F5" s="28">
        <f>'Get Rate for Iteration 7 '!$B$4</f>
        <v>0.40944767268600402</v>
      </c>
      <c r="G5" s="28">
        <f t="shared" si="0"/>
        <v>109506.82209525211</v>
      </c>
      <c r="H5" s="29">
        <f t="shared" si="1"/>
        <v>13201040.715925436</v>
      </c>
    </row>
    <row r="6" spans="1:8" x14ac:dyDescent="0.2">
      <c r="A6" s="35">
        <v>40712</v>
      </c>
      <c r="B6" s="36">
        <f>+D5*$C$2</f>
        <v>1472000</v>
      </c>
      <c r="C6" s="36">
        <v>12800000</v>
      </c>
      <c r="D6" s="36">
        <v>0.115</v>
      </c>
      <c r="E6" s="36">
        <f>+D6*C6</f>
        <v>1472000</v>
      </c>
      <c r="F6" s="28">
        <f>'Get Rate for Iteration 7 '!$B$4</f>
        <v>0.40944767268600402</v>
      </c>
      <c r="G6" s="28">
        <f t="shared" si="0"/>
        <v>120716.15045778733</v>
      </c>
      <c r="H6" s="29">
        <f t="shared" si="1"/>
        <v>13080324.565467648</v>
      </c>
    </row>
    <row r="7" spans="1:8" x14ac:dyDescent="0.2">
      <c r="A7" s="35">
        <v>41078</v>
      </c>
      <c r="B7" s="36">
        <f>+D6*$C$2</f>
        <v>1472000</v>
      </c>
      <c r="C7" s="36">
        <v>12800000</v>
      </c>
      <c r="D7" s="36">
        <v>0.115</v>
      </c>
      <c r="E7" s="36">
        <f>+D7*C7</f>
        <v>1472000</v>
      </c>
      <c r="F7" s="28">
        <f>'Get Rate for Iteration 7 '!$B$4</f>
        <v>0.40944767268600402</v>
      </c>
      <c r="G7" s="28">
        <f t="shared" si="0"/>
        <v>133072.88717292622</v>
      </c>
      <c r="H7" s="29">
        <f t="shared" si="1"/>
        <v>12947251.678294722</v>
      </c>
    </row>
    <row r="8" spans="1:8" x14ac:dyDescent="0.2">
      <c r="A8" s="35">
        <v>41443</v>
      </c>
      <c r="B8" s="36">
        <f>+D7*$C$2</f>
        <v>1472000</v>
      </c>
      <c r="C8" s="36">
        <v>12800000</v>
      </c>
      <c r="D8" s="36">
        <v>0.115</v>
      </c>
      <c r="E8" s="36">
        <f>+D8*C8</f>
        <v>1472000</v>
      </c>
      <c r="F8" s="28">
        <f>'Get Rate for Iteration 7 '!$B$4</f>
        <v>0.40944767268600402</v>
      </c>
      <c r="G8" s="28">
        <f t="shared" si="0"/>
        <v>146694.48316056654</v>
      </c>
      <c r="H8" s="29">
        <f t="shared" si="1"/>
        <v>12800557.195134155</v>
      </c>
    </row>
    <row r="9" spans="1:8" x14ac:dyDescent="0.2">
      <c r="A9" s="31"/>
      <c r="B9" s="32"/>
      <c r="C9" s="32"/>
      <c r="D9" s="32"/>
      <c r="E9" s="32"/>
      <c r="F9" s="28"/>
      <c r="G9" s="28"/>
      <c r="H9" s="29"/>
    </row>
    <row r="10" spans="1:8" x14ac:dyDescent="0.2">
      <c r="A10" s="31"/>
      <c r="B10" s="32"/>
      <c r="C10" s="32"/>
      <c r="D10" s="32"/>
      <c r="E10" s="32"/>
      <c r="F10" s="28"/>
      <c r="G10" s="28"/>
      <c r="H10" s="29"/>
    </row>
    <row r="11" spans="1:8" x14ac:dyDescent="0.2">
      <c r="A11" s="31"/>
      <c r="B11" s="32"/>
      <c r="C11" s="32"/>
      <c r="D11" s="32"/>
      <c r="E11" s="32"/>
      <c r="F11" s="28"/>
      <c r="G11" s="28"/>
      <c r="H11" s="29"/>
    </row>
    <row r="12" spans="1:8" x14ac:dyDescent="0.2">
      <c r="A12" s="31"/>
      <c r="B12" s="32"/>
      <c r="C12" s="32"/>
      <c r="D12" s="32"/>
      <c r="E12" s="32"/>
      <c r="F12" s="28"/>
      <c r="G12" s="28"/>
      <c r="H12" s="29"/>
    </row>
    <row r="13" spans="1:8" x14ac:dyDescent="0.2">
      <c r="A13" s="31"/>
      <c r="B13" s="32"/>
      <c r="C13" s="32"/>
      <c r="D13" s="32"/>
      <c r="E13" s="32"/>
      <c r="F13" s="28"/>
      <c r="G13" s="28"/>
      <c r="H13" s="29"/>
    </row>
    <row r="14" spans="1:8" x14ac:dyDescent="0.2">
      <c r="A14" s="31"/>
      <c r="B14" s="32"/>
      <c r="C14" s="32"/>
      <c r="D14" s="32"/>
      <c r="E14" s="32"/>
      <c r="F14" s="28"/>
      <c r="G14" s="28"/>
      <c r="H14" s="29"/>
    </row>
    <row r="15" spans="1:8" x14ac:dyDescent="0.2">
      <c r="A15" s="31"/>
      <c r="B15" s="32"/>
      <c r="C15" s="32"/>
      <c r="D15" s="32"/>
      <c r="E15" s="32"/>
      <c r="F15" s="28"/>
      <c r="G15" s="28"/>
      <c r="H15" s="29"/>
    </row>
    <row r="16" spans="1:8" x14ac:dyDescent="0.2">
      <c r="A16" s="31"/>
      <c r="B16" s="32"/>
      <c r="C16" s="32"/>
      <c r="D16" s="32"/>
      <c r="E16" s="32"/>
      <c r="F16" s="28"/>
      <c r="G16" s="28"/>
      <c r="H16" s="29"/>
    </row>
    <row r="17" spans="1:8" x14ac:dyDescent="0.2">
      <c r="A17" s="31"/>
      <c r="B17" s="32"/>
      <c r="C17" s="32"/>
      <c r="D17" s="32"/>
      <c r="E17" s="32"/>
      <c r="F17" s="28"/>
      <c r="G17" s="28"/>
      <c r="H17" s="29"/>
    </row>
    <row r="18" spans="1:8" x14ac:dyDescent="0.2">
      <c r="A18" s="31"/>
      <c r="B18" s="32"/>
      <c r="C18" s="32"/>
      <c r="D18" s="32"/>
      <c r="E18" s="32"/>
      <c r="F18" s="28"/>
      <c r="G18" s="28"/>
      <c r="H18" s="29"/>
    </row>
    <row r="19" spans="1:8" x14ac:dyDescent="0.2">
      <c r="A19" s="31"/>
      <c r="B19" s="32"/>
      <c r="C19" s="32"/>
      <c r="D19" s="32"/>
      <c r="E19" s="32"/>
      <c r="F19" s="28"/>
      <c r="G19" s="28"/>
      <c r="H19" s="29"/>
    </row>
    <row r="20" spans="1:8" x14ac:dyDescent="0.2">
      <c r="A20" s="31"/>
      <c r="B20" s="32"/>
      <c r="C20" s="32"/>
      <c r="D20" s="32"/>
      <c r="E20" s="32"/>
      <c r="F20" s="28"/>
      <c r="G20" s="28"/>
      <c r="H20" s="29"/>
    </row>
    <row r="21" spans="1:8" x14ac:dyDescent="0.2">
      <c r="A21" s="31"/>
      <c r="B21" s="32"/>
      <c r="C21" s="32"/>
      <c r="D21" s="32"/>
      <c r="E21" s="32"/>
      <c r="F21" s="28"/>
      <c r="G21" s="28"/>
      <c r="H21" s="29"/>
    </row>
    <row r="22" spans="1:8" x14ac:dyDescent="0.2">
      <c r="A22" s="31"/>
      <c r="B22" s="32"/>
      <c r="C22" s="32"/>
      <c r="D22" s="32"/>
      <c r="E22" s="32"/>
      <c r="F22" s="28"/>
      <c r="G22" s="28"/>
      <c r="H22" s="29"/>
    </row>
    <row r="23" spans="1:8" x14ac:dyDescent="0.2">
      <c r="A23" s="31"/>
      <c r="B23" s="32"/>
      <c r="C23" s="32"/>
      <c r="D23" s="32"/>
      <c r="E23" s="32"/>
      <c r="F23" s="28"/>
      <c r="G23" s="28"/>
      <c r="H23" s="29"/>
    </row>
    <row r="24" spans="1:8" x14ac:dyDescent="0.2">
      <c r="A24" s="31"/>
      <c r="B24" s="32"/>
      <c r="C24" s="32"/>
      <c r="D24" s="32"/>
      <c r="E24" s="32"/>
      <c r="F24" s="28"/>
      <c r="G24" s="28"/>
      <c r="H24" s="29"/>
    </row>
    <row r="25" spans="1:8" x14ac:dyDescent="0.2">
      <c r="A25" s="31"/>
      <c r="B25" s="32"/>
      <c r="C25" s="32"/>
      <c r="D25" s="32"/>
      <c r="E25" s="32"/>
      <c r="F25" s="28"/>
      <c r="G25" s="28"/>
      <c r="H25" s="29"/>
    </row>
    <row r="26" spans="1:8" x14ac:dyDescent="0.2">
      <c r="A26" s="31"/>
      <c r="B26" s="32"/>
      <c r="C26" s="32"/>
      <c r="D26" s="32"/>
      <c r="E26" s="32"/>
      <c r="F26" s="28"/>
      <c r="G26" s="28"/>
      <c r="H26" s="29"/>
    </row>
    <row r="27" spans="1:8" x14ac:dyDescent="0.2">
      <c r="A27" s="31"/>
      <c r="B27" s="32"/>
      <c r="C27" s="32"/>
      <c r="D27" s="32"/>
      <c r="E27" s="32"/>
      <c r="F27" s="28"/>
      <c r="G27" s="28"/>
      <c r="H27" s="29"/>
    </row>
    <row r="28" spans="1:8" x14ac:dyDescent="0.2">
      <c r="A28" s="31"/>
      <c r="B28" s="32"/>
      <c r="C28" s="32"/>
      <c r="D28" s="32"/>
      <c r="E28" s="32"/>
      <c r="F28" s="28"/>
      <c r="G28" s="28"/>
      <c r="H28" s="29"/>
    </row>
    <row r="29" spans="1:8" x14ac:dyDescent="0.2">
      <c r="A29" s="31"/>
      <c r="B29" s="32"/>
      <c r="C29" s="32"/>
      <c r="D29" s="32"/>
      <c r="E29" s="32"/>
      <c r="F29" s="28"/>
      <c r="G29" s="28"/>
      <c r="H29" s="29"/>
    </row>
    <row r="30" spans="1:8" x14ac:dyDescent="0.2">
      <c r="A30" s="31"/>
      <c r="B30" s="32"/>
      <c r="C30" s="32"/>
      <c r="D30" s="32"/>
      <c r="E30" s="32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H8-C2</f>
        <v>557.19513415545225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workbookViewId="0">
      <selection activeCell="L41" sqref="L41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0.40942601716350091</v>
      </c>
      <c r="C4" t="s">
        <v>12</v>
      </c>
    </row>
    <row r="5" spans="1:3" x14ac:dyDescent="0.2">
      <c r="A5" s="5" t="s">
        <v>3</v>
      </c>
      <c r="B5">
        <f>'Iteration 7 '!F2</f>
        <v>0.40944767268600402</v>
      </c>
      <c r="C5" t="s">
        <v>8</v>
      </c>
    </row>
    <row r="6" spans="1:3" x14ac:dyDescent="0.2">
      <c r="A6" s="5" t="s">
        <v>4</v>
      </c>
      <c r="B6">
        <f>'Iteration 6'!F2</f>
        <v>0.40794754652505438</v>
      </c>
      <c r="C6" t="s">
        <v>9</v>
      </c>
    </row>
    <row r="7" spans="1:3" x14ac:dyDescent="0.2">
      <c r="A7" s="5" t="s">
        <v>6</v>
      </c>
      <c r="B7" s="2">
        <f>'Iteration 7 '!G34</f>
        <v>557.19513415545225</v>
      </c>
      <c r="C7" t="s">
        <v>10</v>
      </c>
    </row>
    <row r="8" spans="1:3" x14ac:dyDescent="0.2">
      <c r="A8" s="5" t="s">
        <v>7</v>
      </c>
      <c r="B8" s="2">
        <f>'Iteration 6'!G34</f>
        <v>-38040.94986009039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36"/>
  <sheetViews>
    <sheetView workbookViewId="0">
      <selection activeCell="A9" sqref="A9:H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5">
        <v>39251</v>
      </c>
      <c r="B2" s="36">
        <v>-13500000</v>
      </c>
      <c r="C2" s="36">
        <v>12800000</v>
      </c>
      <c r="D2" s="36">
        <v>0.115</v>
      </c>
      <c r="E2" s="36" t="s">
        <v>1</v>
      </c>
      <c r="F2" s="28">
        <f>'Get Rate for Iteration 8 '!$B$4</f>
        <v>0.40942601716350091</v>
      </c>
      <c r="G2" s="28"/>
      <c r="H2" s="29">
        <f>+B2*-1</f>
        <v>13500000</v>
      </c>
    </row>
    <row r="3" spans="1:8" x14ac:dyDescent="0.2">
      <c r="A3" s="35">
        <v>39617</v>
      </c>
      <c r="B3" s="36">
        <f>+D2*$C$2</f>
        <v>1472000</v>
      </c>
      <c r="C3" s="36">
        <v>12800000</v>
      </c>
      <c r="D3" s="36">
        <v>0.115</v>
      </c>
      <c r="E3" s="36">
        <f>+D3*C3</f>
        <v>1472000</v>
      </c>
      <c r="F3" s="28">
        <f>'Get Rate for Iteration 8 '!$B$4</f>
        <v>0.40942601716350091</v>
      </c>
      <c r="G3" s="28">
        <f>E3-((H2*0.25*F3))</f>
        <v>90187.192073184531</v>
      </c>
      <c r="H3" s="29">
        <f>+H2-G3</f>
        <v>13409812.807926815</v>
      </c>
    </row>
    <row r="4" spans="1:8" x14ac:dyDescent="0.2">
      <c r="A4" s="35">
        <v>39982</v>
      </c>
      <c r="B4" s="36">
        <f>+D3*$C$2</f>
        <v>1472000</v>
      </c>
      <c r="C4" s="36">
        <v>12800000</v>
      </c>
      <c r="D4" s="36">
        <v>0.115</v>
      </c>
      <c r="E4" s="36">
        <f>+D4*C4</f>
        <v>1472000</v>
      </c>
      <c r="F4" s="28">
        <f>'Get Rate for Iteration 8 '!$B$4</f>
        <v>0.40942601716350091</v>
      </c>
      <c r="G4" s="28">
        <f t="shared" ref="G4:G30" si="0">E4-((H3*0.25*F4))</f>
        <v>99418.437785605434</v>
      </c>
      <c r="H4" s="29">
        <f t="shared" ref="H4:H30" si="1">+H3-G4</f>
        <v>13310394.37014121</v>
      </c>
    </row>
    <row r="5" spans="1:8" x14ac:dyDescent="0.2">
      <c r="A5" s="35">
        <v>40347</v>
      </c>
      <c r="B5" s="36">
        <f>+D4*$C$2</f>
        <v>1472000</v>
      </c>
      <c r="C5" s="36">
        <v>12800000</v>
      </c>
      <c r="D5" s="36">
        <v>0.115</v>
      </c>
      <c r="E5" s="36">
        <f>+D5*C5</f>
        <v>1472000</v>
      </c>
      <c r="F5" s="28">
        <f>'Get Rate for Iteration 8 '!$B$4</f>
        <v>0.40942601716350091</v>
      </c>
      <c r="G5" s="28">
        <f t="shared" si="0"/>
        <v>109594.56153939967</v>
      </c>
      <c r="H5" s="29">
        <f t="shared" si="1"/>
        <v>13200799.80860181</v>
      </c>
    </row>
    <row r="6" spans="1:8" x14ac:dyDescent="0.2">
      <c r="A6" s="35">
        <v>40712</v>
      </c>
      <c r="B6" s="36">
        <f>+D5*$C$2</f>
        <v>1472000</v>
      </c>
      <c r="C6" s="36">
        <v>12800000</v>
      </c>
      <c r="D6" s="36">
        <v>0.115</v>
      </c>
      <c r="E6" s="36">
        <f>+D6*C6</f>
        <v>1472000</v>
      </c>
      <c r="F6" s="28">
        <f>'Get Rate for Iteration 8 '!$B$4</f>
        <v>0.40942601716350091</v>
      </c>
      <c r="G6" s="28">
        <f t="shared" si="0"/>
        <v>120812.2777478639</v>
      </c>
      <c r="H6" s="29">
        <f t="shared" si="1"/>
        <v>13079987.530853946</v>
      </c>
    </row>
    <row r="7" spans="1:8" x14ac:dyDescent="0.2">
      <c r="A7" s="35">
        <v>41078</v>
      </c>
      <c r="B7" s="36">
        <f>+D6*$C$2</f>
        <v>1472000</v>
      </c>
      <c r="C7" s="36">
        <v>12800000</v>
      </c>
      <c r="D7" s="36">
        <v>0.115</v>
      </c>
      <c r="E7" s="36">
        <f>+D7*C7</f>
        <v>1472000</v>
      </c>
      <c r="F7" s="28">
        <f>'Get Rate for Iteration 8 '!$B$4</f>
        <v>0.40942601716350091</v>
      </c>
      <c r="G7" s="28">
        <f t="shared" si="0"/>
        <v>133178.20017355355</v>
      </c>
      <c r="H7" s="29">
        <f t="shared" si="1"/>
        <v>12946809.330680393</v>
      </c>
    </row>
    <row r="8" spans="1:8" x14ac:dyDescent="0.2">
      <c r="A8" s="35">
        <v>41443</v>
      </c>
      <c r="B8" s="36">
        <f>+D7*$C$2</f>
        <v>1472000</v>
      </c>
      <c r="C8" s="36">
        <v>12800000</v>
      </c>
      <c r="D8" s="36">
        <v>0.115</v>
      </c>
      <c r="E8" s="36">
        <f>+D8*C8</f>
        <v>1472000</v>
      </c>
      <c r="F8" s="28">
        <f>'Get Rate for Iteration 8 '!$B$4</f>
        <v>0.40942601716350091</v>
      </c>
      <c r="G8" s="28">
        <f t="shared" si="0"/>
        <v>146809.85519106896</v>
      </c>
      <c r="H8" s="29">
        <f t="shared" si="1"/>
        <v>12799999.475489324</v>
      </c>
    </row>
    <row r="9" spans="1:8" x14ac:dyDescent="0.2">
      <c r="A9" s="31"/>
      <c r="B9" s="32"/>
      <c r="C9" s="32"/>
      <c r="D9" s="32"/>
      <c r="E9" s="32"/>
      <c r="F9" s="28"/>
      <c r="G9" s="28"/>
      <c r="H9" s="29"/>
    </row>
    <row r="10" spans="1:8" x14ac:dyDescent="0.2">
      <c r="A10" s="31"/>
      <c r="B10" s="32"/>
      <c r="C10" s="32"/>
      <c r="D10" s="32"/>
      <c r="E10" s="32"/>
      <c r="F10" s="28"/>
      <c r="G10" s="28"/>
      <c r="H10" s="29"/>
    </row>
    <row r="11" spans="1:8" x14ac:dyDescent="0.2">
      <c r="A11" s="31"/>
      <c r="B11" s="32"/>
      <c r="C11" s="32"/>
      <c r="D11" s="32"/>
      <c r="E11" s="32"/>
      <c r="F11" s="28"/>
      <c r="G11" s="28"/>
      <c r="H11" s="29"/>
    </row>
    <row r="12" spans="1:8" x14ac:dyDescent="0.2">
      <c r="A12" s="31"/>
      <c r="B12" s="32"/>
      <c r="C12" s="32"/>
      <c r="D12" s="32"/>
      <c r="E12" s="32"/>
      <c r="F12" s="28"/>
      <c r="G12" s="28"/>
      <c r="H12" s="29"/>
    </row>
    <row r="13" spans="1:8" x14ac:dyDescent="0.2">
      <c r="A13" s="31"/>
      <c r="B13" s="32"/>
      <c r="C13" s="32"/>
      <c r="D13" s="32"/>
      <c r="E13" s="32"/>
      <c r="F13" s="28"/>
      <c r="G13" s="28"/>
      <c r="H13" s="29"/>
    </row>
    <row r="14" spans="1:8" x14ac:dyDescent="0.2">
      <c r="A14" s="31"/>
      <c r="B14" s="32"/>
      <c r="C14" s="32"/>
      <c r="D14" s="32"/>
      <c r="E14" s="32"/>
      <c r="F14" s="28"/>
      <c r="G14" s="28"/>
      <c r="H14" s="29"/>
    </row>
    <row r="15" spans="1:8" x14ac:dyDescent="0.2">
      <c r="A15" s="31"/>
      <c r="B15" s="32"/>
      <c r="C15" s="32"/>
      <c r="D15" s="32"/>
      <c r="E15" s="32"/>
      <c r="F15" s="28"/>
      <c r="G15" s="28"/>
      <c r="H15" s="29"/>
    </row>
    <row r="16" spans="1:8" x14ac:dyDescent="0.2">
      <c r="A16" s="31"/>
      <c r="B16" s="32"/>
      <c r="C16" s="32"/>
      <c r="D16" s="32"/>
      <c r="E16" s="32"/>
      <c r="F16" s="28"/>
      <c r="G16" s="28"/>
      <c r="H16" s="29"/>
    </row>
    <row r="17" spans="1:8" x14ac:dyDescent="0.2">
      <c r="A17" s="31"/>
      <c r="B17" s="32"/>
      <c r="C17" s="32"/>
      <c r="D17" s="32"/>
      <c r="E17" s="32"/>
      <c r="F17" s="28"/>
      <c r="G17" s="28"/>
      <c r="H17" s="29"/>
    </row>
    <row r="18" spans="1:8" x14ac:dyDescent="0.2">
      <c r="A18" s="31"/>
      <c r="B18" s="32"/>
      <c r="C18" s="32"/>
      <c r="D18" s="32"/>
      <c r="E18" s="32"/>
      <c r="F18" s="28"/>
      <c r="G18" s="28"/>
      <c r="H18" s="29"/>
    </row>
    <row r="19" spans="1:8" x14ac:dyDescent="0.2">
      <c r="A19" s="31"/>
      <c r="B19" s="32"/>
      <c r="C19" s="32"/>
      <c r="D19" s="32"/>
      <c r="E19" s="32"/>
      <c r="F19" s="28"/>
      <c r="G19" s="28"/>
      <c r="H19" s="29"/>
    </row>
    <row r="20" spans="1:8" x14ac:dyDescent="0.2">
      <c r="A20" s="31"/>
      <c r="B20" s="32"/>
      <c r="C20" s="32"/>
      <c r="D20" s="32"/>
      <c r="E20" s="32"/>
      <c r="F20" s="28"/>
      <c r="G20" s="28"/>
      <c r="H20" s="29"/>
    </row>
    <row r="21" spans="1:8" x14ac:dyDescent="0.2">
      <c r="A21" s="31"/>
      <c r="B21" s="32"/>
      <c r="C21" s="32"/>
      <c r="D21" s="32"/>
      <c r="E21" s="32"/>
      <c r="F21" s="28"/>
      <c r="G21" s="28"/>
      <c r="H21" s="29"/>
    </row>
    <row r="22" spans="1:8" x14ac:dyDescent="0.2">
      <c r="A22" s="31"/>
      <c r="B22" s="32"/>
      <c r="C22" s="32"/>
      <c r="D22" s="32"/>
      <c r="E22" s="32"/>
      <c r="F22" s="28"/>
      <c r="G22" s="28"/>
      <c r="H22" s="29"/>
    </row>
    <row r="23" spans="1:8" x14ac:dyDescent="0.2">
      <c r="A23" s="31"/>
      <c r="B23" s="32"/>
      <c r="C23" s="32"/>
      <c r="D23" s="32"/>
      <c r="E23" s="32"/>
      <c r="F23" s="28"/>
      <c r="G23" s="28"/>
      <c r="H23" s="29"/>
    </row>
    <row r="24" spans="1:8" x14ac:dyDescent="0.2">
      <c r="A24" s="31"/>
      <c r="B24" s="32"/>
      <c r="C24" s="32"/>
      <c r="D24" s="32"/>
      <c r="E24" s="32"/>
      <c r="F24" s="28"/>
      <c r="G24" s="28"/>
      <c r="H24" s="29"/>
    </row>
    <row r="25" spans="1:8" x14ac:dyDescent="0.2">
      <c r="A25" s="31"/>
      <c r="B25" s="32"/>
      <c r="C25" s="32"/>
      <c r="D25" s="32"/>
      <c r="E25" s="32"/>
      <c r="F25" s="28"/>
      <c r="G25" s="28"/>
      <c r="H25" s="29"/>
    </row>
    <row r="26" spans="1:8" x14ac:dyDescent="0.2">
      <c r="A26" s="31"/>
      <c r="B26" s="32"/>
      <c r="C26" s="32"/>
      <c r="D26" s="32"/>
      <c r="E26" s="32"/>
      <c r="F26" s="28"/>
      <c r="G26" s="28"/>
      <c r="H26" s="29"/>
    </row>
    <row r="27" spans="1:8" x14ac:dyDescent="0.2">
      <c r="A27" s="31"/>
      <c r="B27" s="32"/>
      <c r="C27" s="32"/>
      <c r="D27" s="32"/>
      <c r="E27" s="32"/>
      <c r="F27" s="28"/>
      <c r="G27" s="28"/>
      <c r="H27" s="29"/>
    </row>
    <row r="28" spans="1:8" x14ac:dyDescent="0.2">
      <c r="A28" s="31"/>
      <c r="B28" s="32"/>
      <c r="C28" s="32"/>
      <c r="D28" s="32"/>
      <c r="E28" s="32"/>
      <c r="F28" s="28"/>
      <c r="G28" s="28"/>
      <c r="H28" s="29"/>
    </row>
    <row r="29" spans="1:8" x14ac:dyDescent="0.2">
      <c r="A29" s="31"/>
      <c r="B29" s="32"/>
      <c r="C29" s="32"/>
      <c r="D29" s="32"/>
      <c r="E29" s="32"/>
      <c r="F29" s="28"/>
      <c r="G29" s="28"/>
      <c r="H29" s="29"/>
    </row>
    <row r="30" spans="1:8" x14ac:dyDescent="0.2">
      <c r="A30" s="31"/>
      <c r="B30" s="32"/>
      <c r="C30" s="32"/>
      <c r="D30" s="32"/>
      <c r="E30" s="32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H8-C2</f>
        <v>-0.52451067604124546</v>
      </c>
    </row>
    <row r="36" spans="2:7" x14ac:dyDescent="0.2">
      <c r="F36" t="s">
        <v>34</v>
      </c>
      <c r="G36">
        <v>0.01</v>
      </c>
    </row>
  </sheetData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workbookViewId="0">
      <selection activeCell="L41" sqref="L41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0.40942603752956269</v>
      </c>
      <c r="C4" t="s">
        <v>12</v>
      </c>
    </row>
    <row r="5" spans="1:3" x14ac:dyDescent="0.2">
      <c r="A5" s="5" t="s">
        <v>3</v>
      </c>
      <c r="B5">
        <f>'Iteration 8 '!F2</f>
        <v>0.40942601716350091</v>
      </c>
      <c r="C5" t="s">
        <v>8</v>
      </c>
    </row>
    <row r="6" spans="1:3" x14ac:dyDescent="0.2">
      <c r="A6" s="5" t="s">
        <v>4</v>
      </c>
      <c r="B6">
        <f>'Iteration 7 '!F2</f>
        <v>0.40944767268600402</v>
      </c>
      <c r="C6" t="s">
        <v>9</v>
      </c>
    </row>
    <row r="7" spans="1:3" x14ac:dyDescent="0.2">
      <c r="A7" s="5" t="s">
        <v>6</v>
      </c>
      <c r="B7" s="2">
        <f>'Iteration 8 '!G34</f>
        <v>-0.52451067604124546</v>
      </c>
      <c r="C7" t="s">
        <v>10</v>
      </c>
    </row>
    <row r="8" spans="1:3" x14ac:dyDescent="0.2">
      <c r="A8" s="5" t="s">
        <v>7</v>
      </c>
      <c r="B8" s="2">
        <f>'Iteration 7 '!G34</f>
        <v>557.19513415545225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38"/>
  <sheetViews>
    <sheetView workbookViewId="0">
      <selection activeCell="H10" sqref="H1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3" width="14.5703125" customWidth="1"/>
    <col min="4" max="4" width="21.85546875" customWidth="1"/>
    <col min="5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5">
        <v>39251</v>
      </c>
      <c r="B2" s="36">
        <v>-13500000</v>
      </c>
      <c r="C2" s="36">
        <v>12800000</v>
      </c>
      <c r="D2" s="36">
        <v>0.115</v>
      </c>
      <c r="E2" s="36" t="s">
        <v>1</v>
      </c>
      <c r="F2" s="28">
        <f>'Get Rate for Iteration 9 '!$B$4</f>
        <v>0.40942603752956269</v>
      </c>
      <c r="G2" s="28"/>
      <c r="H2" s="29">
        <f>+B2*-1</f>
        <v>13500000</v>
      </c>
    </row>
    <row r="3" spans="1:8" x14ac:dyDescent="0.2">
      <c r="A3" s="35">
        <v>39617</v>
      </c>
      <c r="B3" s="36">
        <f>+D2*$C$2</f>
        <v>1472000</v>
      </c>
      <c r="C3" s="36">
        <v>12800000</v>
      </c>
      <c r="D3" s="36">
        <v>0.115</v>
      </c>
      <c r="E3" s="36">
        <f>+D3*C3</f>
        <v>1472000</v>
      </c>
      <c r="F3" s="28">
        <f>'Get Rate for Iteration 9 '!$B$4</f>
        <v>0.40942603752956269</v>
      </c>
      <c r="G3" s="28">
        <f>E3-((H2*0.25*F3))</f>
        <v>90187.123337725876</v>
      </c>
      <c r="H3" s="29">
        <f>+H2-G3</f>
        <v>13409812.876662275</v>
      </c>
    </row>
    <row r="4" spans="1:8" x14ac:dyDescent="0.2">
      <c r="A4" s="35">
        <v>39982</v>
      </c>
      <c r="B4" s="36">
        <f>+D3*$C$2</f>
        <v>1472000</v>
      </c>
      <c r="C4" s="36">
        <v>12800000</v>
      </c>
      <c r="D4" s="36">
        <v>0.115</v>
      </c>
      <c r="E4" s="36">
        <f>+D4*C4</f>
        <v>1472000</v>
      </c>
      <c r="F4" s="28">
        <f>'Get Rate for Iteration 9 '!$B$4</f>
        <v>0.40942603752956269</v>
      </c>
      <c r="G4" s="28">
        <f t="shared" ref="G4:G30" si="0">E4-((H3*0.25*F4))</f>
        <v>99418.362473814515</v>
      </c>
      <c r="H4" s="29">
        <f t="shared" ref="H4:H30" si="1">+H3-G4</f>
        <v>13310394.514188461</v>
      </c>
    </row>
    <row r="5" spans="1:8" x14ac:dyDescent="0.2">
      <c r="A5" s="35">
        <v>40347</v>
      </c>
      <c r="B5" s="36">
        <f>+D4*$C$2</f>
        <v>1472000</v>
      </c>
      <c r="C5" s="36">
        <v>12800000</v>
      </c>
      <c r="D5" s="36">
        <v>0.115</v>
      </c>
      <c r="E5" s="36">
        <f>+D5*C5</f>
        <v>1472000</v>
      </c>
      <c r="F5" s="28">
        <f>'Get Rate for Iteration 9 '!$B$4</f>
        <v>0.40942603752956269</v>
      </c>
      <c r="G5" s="28">
        <f t="shared" si="0"/>
        <v>109594.47902514739</v>
      </c>
      <c r="H5" s="29">
        <f t="shared" si="1"/>
        <v>13200800.035163313</v>
      </c>
    </row>
    <row r="6" spans="1:8" x14ac:dyDescent="0.2">
      <c r="A6" s="35">
        <v>40712</v>
      </c>
      <c r="B6" s="36">
        <f>+D5*$C$2</f>
        <v>1472000</v>
      </c>
      <c r="C6" s="36">
        <v>12800000</v>
      </c>
      <c r="D6" s="36">
        <v>0.115</v>
      </c>
      <c r="E6" s="36">
        <f>+D6*C6</f>
        <v>1472000</v>
      </c>
      <c r="F6" s="28">
        <f>'Get Rate for Iteration 9 '!$B$4</f>
        <v>0.40942603752956269</v>
      </c>
      <c r="G6" s="28">
        <f t="shared" si="0"/>
        <v>120812.18734574318</v>
      </c>
      <c r="H6" s="29">
        <f t="shared" si="1"/>
        <v>13079987.84781757</v>
      </c>
    </row>
    <row r="7" spans="1:8" x14ac:dyDescent="0.2">
      <c r="A7" s="35">
        <v>41078</v>
      </c>
      <c r="B7" s="36">
        <f>+D6*$C$2</f>
        <v>1472000</v>
      </c>
      <c r="C7" s="36">
        <v>12800000</v>
      </c>
      <c r="D7" s="36">
        <v>0.115</v>
      </c>
      <c r="E7" s="36">
        <f>+D7*C7</f>
        <v>1472000</v>
      </c>
      <c r="F7" s="28">
        <f>'Get Rate for Iteration 9 '!$B$4</f>
        <v>0.40942603752956269</v>
      </c>
      <c r="G7" s="28">
        <f t="shared" si="0"/>
        <v>133178.10113330488</v>
      </c>
      <c r="H7" s="29">
        <f t="shared" si="1"/>
        <v>12946809.746684264</v>
      </c>
    </row>
    <row r="8" spans="1:8" x14ac:dyDescent="0.2">
      <c r="A8" s="35">
        <v>41443</v>
      </c>
      <c r="B8" s="36">
        <f>+D7*$C$2</f>
        <v>1472000</v>
      </c>
      <c r="C8" s="36">
        <v>12800000</v>
      </c>
      <c r="D8" s="36">
        <v>0.115</v>
      </c>
      <c r="E8" s="36">
        <f>+D8*C8</f>
        <v>1472000</v>
      </c>
      <c r="F8" s="28">
        <f>'Get Rate for Iteration 9 '!$B$4</f>
        <v>0.40942603752956269</v>
      </c>
      <c r="G8" s="28">
        <f t="shared" si="0"/>
        <v>146809.74669148517</v>
      </c>
      <c r="H8" s="29">
        <f t="shared" si="1"/>
        <v>12799999.999992779</v>
      </c>
    </row>
    <row r="9" spans="1:8" x14ac:dyDescent="0.2">
      <c r="A9" s="31"/>
      <c r="B9" s="32"/>
      <c r="C9" s="32"/>
      <c r="D9" s="32"/>
      <c r="E9" s="32"/>
      <c r="F9" s="28"/>
      <c r="G9" s="28"/>
      <c r="H9" s="29"/>
    </row>
    <row r="10" spans="1:8" x14ac:dyDescent="0.2">
      <c r="A10" s="31"/>
      <c r="B10" s="32"/>
      <c r="C10" s="32"/>
      <c r="D10" s="32"/>
      <c r="E10" s="32"/>
      <c r="F10" s="28"/>
      <c r="G10" s="28"/>
      <c r="H10" s="29"/>
    </row>
    <row r="11" spans="1:8" x14ac:dyDescent="0.2">
      <c r="A11" s="31"/>
      <c r="B11" s="32"/>
      <c r="C11" s="32"/>
      <c r="D11" s="32"/>
      <c r="E11" s="32"/>
      <c r="F11" s="28"/>
      <c r="G11" s="28"/>
      <c r="H11" s="29"/>
    </row>
    <row r="12" spans="1:8" x14ac:dyDescent="0.2">
      <c r="A12" s="31"/>
      <c r="B12" s="32"/>
      <c r="C12" s="32"/>
      <c r="D12" s="32"/>
      <c r="E12" s="32"/>
      <c r="F12" s="28"/>
      <c r="G12" s="28"/>
      <c r="H12" s="29"/>
    </row>
    <row r="13" spans="1:8" x14ac:dyDescent="0.2">
      <c r="A13" s="31"/>
      <c r="B13" s="32"/>
      <c r="C13" s="32"/>
      <c r="D13" s="32"/>
      <c r="E13" s="32"/>
      <c r="F13" s="28"/>
      <c r="G13" s="28"/>
      <c r="H13" s="29"/>
    </row>
    <row r="14" spans="1:8" x14ac:dyDescent="0.2">
      <c r="A14" s="31"/>
      <c r="B14" s="32"/>
      <c r="C14" s="32"/>
      <c r="D14" s="32"/>
      <c r="E14" s="32"/>
      <c r="F14" s="28"/>
      <c r="G14" s="28"/>
      <c r="H14" s="29"/>
    </row>
    <row r="15" spans="1:8" x14ac:dyDescent="0.2">
      <c r="A15" s="31"/>
      <c r="B15" s="32"/>
      <c r="C15" s="32"/>
      <c r="D15" s="32"/>
      <c r="E15" s="32"/>
      <c r="F15" s="28"/>
      <c r="G15" s="28"/>
      <c r="H15" s="29"/>
    </row>
    <row r="16" spans="1:8" x14ac:dyDescent="0.2">
      <c r="A16" s="31"/>
      <c r="B16" s="32"/>
      <c r="C16" s="32"/>
      <c r="D16" s="32"/>
      <c r="E16" s="32"/>
      <c r="F16" s="28"/>
      <c r="G16" s="28"/>
      <c r="H16" s="29"/>
    </row>
    <row r="17" spans="1:8" x14ac:dyDescent="0.2">
      <c r="A17" s="31"/>
      <c r="B17" s="32"/>
      <c r="C17" s="32"/>
      <c r="D17" s="32"/>
      <c r="E17" s="32"/>
      <c r="F17" s="28"/>
      <c r="G17" s="28"/>
      <c r="H17" s="29"/>
    </row>
    <row r="18" spans="1:8" x14ac:dyDescent="0.2">
      <c r="A18" s="31"/>
      <c r="B18" s="32"/>
      <c r="C18" s="32"/>
      <c r="D18" s="32"/>
      <c r="E18" s="32"/>
      <c r="F18" s="28"/>
      <c r="G18" s="28"/>
      <c r="H18" s="29"/>
    </row>
    <row r="19" spans="1:8" x14ac:dyDescent="0.2">
      <c r="A19" s="31"/>
      <c r="B19" s="32"/>
      <c r="C19" s="32"/>
      <c r="D19" s="32"/>
      <c r="E19" s="32"/>
      <c r="F19" s="28"/>
      <c r="G19" s="28"/>
      <c r="H19" s="29"/>
    </row>
    <row r="20" spans="1:8" x14ac:dyDescent="0.2">
      <c r="A20" s="31"/>
      <c r="B20" s="32"/>
      <c r="C20" s="32"/>
      <c r="D20" s="32"/>
      <c r="E20" s="32"/>
      <c r="F20" s="28"/>
      <c r="G20" s="28"/>
      <c r="H20" s="29"/>
    </row>
    <row r="21" spans="1:8" x14ac:dyDescent="0.2">
      <c r="A21" s="31"/>
      <c r="B21" s="32"/>
      <c r="C21" s="32"/>
      <c r="D21" s="32"/>
      <c r="E21" s="32"/>
      <c r="F21" s="28"/>
      <c r="G21" s="28"/>
      <c r="H21" s="29"/>
    </row>
    <row r="22" spans="1:8" x14ac:dyDescent="0.2">
      <c r="A22" s="31"/>
      <c r="B22" s="32"/>
      <c r="C22" s="32"/>
      <c r="D22" s="32"/>
      <c r="E22" s="32"/>
      <c r="F22" s="28"/>
      <c r="G22" s="28"/>
      <c r="H22" s="29"/>
    </row>
    <row r="23" spans="1:8" x14ac:dyDescent="0.2">
      <c r="A23" s="31"/>
      <c r="B23" s="32"/>
      <c r="C23" s="32"/>
      <c r="D23" s="32"/>
      <c r="E23" s="32"/>
      <c r="F23" s="28"/>
      <c r="G23" s="28"/>
      <c r="H23" s="29"/>
    </row>
    <row r="24" spans="1:8" x14ac:dyDescent="0.2">
      <c r="A24" s="31"/>
      <c r="B24" s="32"/>
      <c r="C24" s="32"/>
      <c r="D24" s="32"/>
      <c r="E24" s="32"/>
      <c r="F24" s="28"/>
      <c r="G24" s="28"/>
      <c r="H24" s="29"/>
    </row>
    <row r="25" spans="1:8" x14ac:dyDescent="0.2">
      <c r="A25" s="31"/>
      <c r="B25" s="32"/>
      <c r="C25" s="32"/>
      <c r="D25" s="32"/>
      <c r="E25" s="32"/>
      <c r="F25" s="28"/>
      <c r="G25" s="28"/>
      <c r="H25" s="29"/>
    </row>
    <row r="26" spans="1:8" x14ac:dyDescent="0.2">
      <c r="A26" s="31"/>
      <c r="B26" s="32"/>
      <c r="C26" s="32"/>
      <c r="D26" s="32"/>
      <c r="E26" s="32"/>
      <c r="F26" s="28"/>
      <c r="G26" s="28"/>
      <c r="H26" s="29"/>
    </row>
    <row r="27" spans="1:8" x14ac:dyDescent="0.2">
      <c r="A27" s="31"/>
      <c r="B27" s="32"/>
      <c r="C27" s="32"/>
      <c r="D27" s="32"/>
      <c r="E27" s="32"/>
      <c r="F27" s="28"/>
      <c r="G27" s="28"/>
      <c r="H27" s="29"/>
    </row>
    <row r="28" spans="1:8" x14ac:dyDescent="0.2">
      <c r="A28" s="31"/>
      <c r="B28" s="32"/>
      <c r="C28" s="32"/>
      <c r="D28" s="32"/>
      <c r="E28" s="32"/>
      <c r="F28" s="28"/>
      <c r="G28" s="28"/>
      <c r="H28" s="29"/>
    </row>
    <row r="29" spans="1:8" x14ac:dyDescent="0.2">
      <c r="A29" s="31"/>
      <c r="B29" s="32"/>
      <c r="C29" s="32"/>
      <c r="D29" s="32"/>
      <c r="E29" s="32"/>
      <c r="F29" s="28"/>
      <c r="G29" s="28"/>
      <c r="H29" s="29"/>
    </row>
    <row r="30" spans="1:8" x14ac:dyDescent="0.2">
      <c r="A30" s="31"/>
      <c r="B30" s="32"/>
      <c r="C30" s="32"/>
      <c r="D30" s="32"/>
      <c r="E30" s="32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30"/>
      <c r="E34" s="2"/>
      <c r="F34" t="s">
        <v>33</v>
      </c>
      <c r="G34" s="37">
        <f>H8-C2</f>
        <v>-7.2214752435684204E-6</v>
      </c>
    </row>
    <row r="35" spans="2:7" x14ac:dyDescent="0.2">
      <c r="D35" s="27"/>
    </row>
    <row r="36" spans="2:7" x14ac:dyDescent="0.2">
      <c r="D36" s="27"/>
      <c r="F36" t="s">
        <v>34</v>
      </c>
      <c r="G36">
        <v>0.01</v>
      </c>
    </row>
    <row r="37" spans="2:7" x14ac:dyDescent="0.2">
      <c r="D37" s="23"/>
    </row>
    <row r="38" spans="2:7" x14ac:dyDescent="0.2">
      <c r="D38" s="23"/>
    </row>
  </sheetData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8"/>
  <sheetViews>
    <sheetView workbookViewId="0">
      <selection activeCell="L41" sqref="L41"/>
    </sheetView>
  </sheetViews>
  <sheetFormatPr defaultRowHeight="12.75" x14ac:dyDescent="0.2"/>
  <cols>
    <col min="2" max="2" width="14.5703125" bestFit="1" customWidth="1"/>
  </cols>
  <sheetData>
    <row r="1" spans="1:3" x14ac:dyDescent="0.2">
      <c r="A1" t="s">
        <v>2</v>
      </c>
    </row>
    <row r="4" spans="1:3" x14ac:dyDescent="0.2">
      <c r="A4" s="4" t="s">
        <v>5</v>
      </c>
      <c r="B4" s="25">
        <f>B5-B7*(B5-B6)/(B7-B8)</f>
        <v>0.40942603752984308</v>
      </c>
      <c r="C4" t="s">
        <v>12</v>
      </c>
    </row>
    <row r="5" spans="1:3" x14ac:dyDescent="0.2">
      <c r="A5" s="5" t="s">
        <v>3</v>
      </c>
      <c r="B5">
        <f>'Iteration 9 '!F2</f>
        <v>0.40942603752956269</v>
      </c>
      <c r="C5" t="s">
        <v>8</v>
      </c>
    </row>
    <row r="6" spans="1:3" x14ac:dyDescent="0.2">
      <c r="A6" s="5" t="s">
        <v>4</v>
      </c>
      <c r="B6">
        <f>'Iteration 8 '!F2</f>
        <v>0.40942601716350091</v>
      </c>
      <c r="C6" t="s">
        <v>9</v>
      </c>
    </row>
    <row r="7" spans="1:3" x14ac:dyDescent="0.2">
      <c r="A7" s="5" t="s">
        <v>6</v>
      </c>
      <c r="B7" s="2">
        <f>'Iteration 9 '!G34</f>
        <v>-7.2214752435684204E-6</v>
      </c>
      <c r="C7" t="s">
        <v>10</v>
      </c>
    </row>
    <row r="8" spans="1:3" x14ac:dyDescent="0.2">
      <c r="A8" s="5" t="s">
        <v>7</v>
      </c>
      <c r="B8" s="2">
        <f>'Iteration 8 '!G34</f>
        <v>-0.52451067604124546</v>
      </c>
      <c r="C8" t="s">
        <v>11</v>
      </c>
    </row>
  </sheetData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33"/>
  </sheetPr>
  <dimension ref="A1:H36"/>
  <sheetViews>
    <sheetView workbookViewId="0">
      <selection activeCell="G34" sqref="G34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3" width="14.5703125" customWidth="1"/>
    <col min="4" max="4" width="21.85546875" customWidth="1"/>
    <col min="5" max="5" width="14.5703125" customWidth="1"/>
    <col min="6" max="6" width="13.42578125" customWidth="1"/>
    <col min="7" max="7" width="14.85546875" customWidth="1"/>
    <col min="8" max="8" width="13.42578125" customWidth="1"/>
  </cols>
  <sheetData>
    <row r="1" spans="1:8" x14ac:dyDescent="0.2">
      <c r="A1" s="7" t="s">
        <v>13</v>
      </c>
      <c r="B1" s="7" t="s">
        <v>0</v>
      </c>
      <c r="C1" s="7" t="s">
        <v>15</v>
      </c>
      <c r="D1" s="7" t="s">
        <v>30</v>
      </c>
      <c r="E1" s="7" t="s">
        <v>32</v>
      </c>
      <c r="F1" s="7" t="s">
        <v>31</v>
      </c>
      <c r="G1" s="7" t="s">
        <v>27</v>
      </c>
      <c r="H1" s="7" t="s">
        <v>25</v>
      </c>
    </row>
    <row r="2" spans="1:8" x14ac:dyDescent="0.2">
      <c r="A2" s="35">
        <v>39251</v>
      </c>
      <c r="B2" s="36">
        <v>-13500000</v>
      </c>
      <c r="C2" s="36">
        <v>12800000</v>
      </c>
      <c r="D2" s="36">
        <v>0.115</v>
      </c>
      <c r="E2" s="36" t="s">
        <v>1</v>
      </c>
      <c r="F2" s="28">
        <f>'Get Rate for Iteration 10 '!$B$4</f>
        <v>0.40942603752984308</v>
      </c>
      <c r="G2" s="28"/>
      <c r="H2" s="29">
        <f>+B2*-1</f>
        <v>13500000</v>
      </c>
    </row>
    <row r="3" spans="1:8" x14ac:dyDescent="0.2">
      <c r="A3" s="35">
        <v>39617</v>
      </c>
      <c r="B3" s="36">
        <f>+D2*$C$2</f>
        <v>1472000</v>
      </c>
      <c r="C3" s="36">
        <v>12800000</v>
      </c>
      <c r="D3" s="36">
        <v>0.115</v>
      </c>
      <c r="E3" s="36">
        <f>+D3*C3</f>
        <v>1472000</v>
      </c>
      <c r="F3" s="28">
        <f>'Get Rate for Iteration 10 '!$B$4</f>
        <v>0.40942603752984308</v>
      </c>
      <c r="G3" s="28">
        <f>E3-((H2*0.25*F3))</f>
        <v>90187.123336779652</v>
      </c>
      <c r="H3" s="29">
        <f>+H2-G3</f>
        <v>13409812.876663221</v>
      </c>
    </row>
    <row r="4" spans="1:8" x14ac:dyDescent="0.2">
      <c r="A4" s="35">
        <v>39982</v>
      </c>
      <c r="B4" s="36">
        <f>+D3*$C$2</f>
        <v>1472000</v>
      </c>
      <c r="C4" s="36">
        <v>12800000</v>
      </c>
      <c r="D4" s="36">
        <v>0.115</v>
      </c>
      <c r="E4" s="36">
        <f>+D4*C4</f>
        <v>1472000</v>
      </c>
      <c r="F4" s="28">
        <f>'Get Rate for Iteration 10 '!$B$4</f>
        <v>0.40942603752984308</v>
      </c>
      <c r="G4" s="28">
        <f t="shared" ref="G4:G30" si="0">E4-((H3*0.25*F4))</f>
        <v>99418.362472777721</v>
      </c>
      <c r="H4" s="29">
        <f t="shared" ref="H4:H30" si="1">+H3-G4</f>
        <v>13310394.514190443</v>
      </c>
    </row>
    <row r="5" spans="1:8" x14ac:dyDescent="0.2">
      <c r="A5" s="35">
        <v>40347</v>
      </c>
      <c r="B5" s="36">
        <f>+D4*$C$2</f>
        <v>1472000</v>
      </c>
      <c r="C5" s="36">
        <v>12800000</v>
      </c>
      <c r="D5" s="36">
        <v>0.115</v>
      </c>
      <c r="E5" s="36">
        <f>+D5*C5</f>
        <v>1472000</v>
      </c>
      <c r="F5" s="28">
        <f>'Get Rate for Iteration 10 '!$B$4</f>
        <v>0.40942603752984308</v>
      </c>
      <c r="G5" s="28">
        <f t="shared" si="0"/>
        <v>109594.47902401164</v>
      </c>
      <c r="H5" s="29">
        <f t="shared" si="1"/>
        <v>13200800.035166431</v>
      </c>
    </row>
    <row r="6" spans="1:8" x14ac:dyDescent="0.2">
      <c r="A6" s="35">
        <v>40712</v>
      </c>
      <c r="B6" s="36">
        <f>+D5*$C$2</f>
        <v>1472000</v>
      </c>
      <c r="C6" s="36">
        <v>12800000</v>
      </c>
      <c r="D6" s="36">
        <v>0.115</v>
      </c>
      <c r="E6" s="36">
        <f>+D6*C6</f>
        <v>1472000</v>
      </c>
      <c r="F6" s="28">
        <f>'Get Rate for Iteration 10 '!$B$4</f>
        <v>0.40942603752984308</v>
      </c>
      <c r="G6" s="28">
        <f t="shared" si="0"/>
        <v>120812.1873444987</v>
      </c>
      <c r="H6" s="29">
        <f t="shared" si="1"/>
        <v>13079987.847821932</v>
      </c>
    </row>
    <row r="7" spans="1:8" x14ac:dyDescent="0.2">
      <c r="A7" s="35">
        <v>41078</v>
      </c>
      <c r="B7" s="36">
        <f>+D6*$C$2</f>
        <v>1472000</v>
      </c>
      <c r="C7" s="36">
        <v>12800000</v>
      </c>
      <c r="D7" s="36">
        <v>0.115</v>
      </c>
      <c r="E7" s="36">
        <f>+D7*C7</f>
        <v>1472000</v>
      </c>
      <c r="F7" s="28">
        <f>'Get Rate for Iteration 10 '!$B$4</f>
        <v>0.40942603752984308</v>
      </c>
      <c r="G7" s="28">
        <f t="shared" si="0"/>
        <v>133178.10113194142</v>
      </c>
      <c r="H7" s="29">
        <f t="shared" si="1"/>
        <v>12946809.74668999</v>
      </c>
    </row>
    <row r="8" spans="1:8" x14ac:dyDescent="0.2">
      <c r="A8" s="35">
        <v>41443</v>
      </c>
      <c r="B8" s="36">
        <f>+D7*$C$2</f>
        <v>1472000</v>
      </c>
      <c r="C8" s="36">
        <v>12800000</v>
      </c>
      <c r="D8" s="36">
        <v>0.115</v>
      </c>
      <c r="E8" s="36">
        <f>+D8*C8</f>
        <v>1472000</v>
      </c>
      <c r="F8" s="28">
        <f>'Get Rate for Iteration 10 '!$B$4</f>
        <v>0.40942603752984308</v>
      </c>
      <c r="G8" s="28">
        <f t="shared" si="0"/>
        <v>146809.74668999156</v>
      </c>
      <c r="H8" s="29">
        <f t="shared" si="1"/>
        <v>12799999.999999998</v>
      </c>
    </row>
    <row r="9" spans="1:8" x14ac:dyDescent="0.2">
      <c r="A9" s="31"/>
      <c r="B9" s="32"/>
      <c r="C9" s="32"/>
      <c r="D9" s="32"/>
      <c r="E9" s="32"/>
      <c r="F9" s="28"/>
      <c r="G9" s="28"/>
      <c r="H9" s="29"/>
    </row>
    <row r="10" spans="1:8" x14ac:dyDescent="0.2">
      <c r="A10" s="31"/>
      <c r="B10" s="32"/>
      <c r="C10" s="32"/>
      <c r="D10" s="32"/>
      <c r="E10" s="32"/>
      <c r="F10" s="28"/>
      <c r="G10" s="28"/>
      <c r="H10" s="29"/>
    </row>
    <row r="11" spans="1:8" x14ac:dyDescent="0.2">
      <c r="A11" s="31"/>
      <c r="B11" s="32"/>
      <c r="C11" s="32"/>
      <c r="D11" s="32"/>
      <c r="E11" s="32"/>
      <c r="F11" s="28"/>
      <c r="G11" s="28"/>
      <c r="H11" s="29"/>
    </row>
    <row r="12" spans="1:8" x14ac:dyDescent="0.2">
      <c r="A12" s="31"/>
      <c r="B12" s="32"/>
      <c r="C12" s="32"/>
      <c r="D12" s="32"/>
      <c r="E12" s="32"/>
      <c r="F12" s="28"/>
      <c r="G12" s="28"/>
      <c r="H12" s="29"/>
    </row>
    <row r="13" spans="1:8" x14ac:dyDescent="0.2">
      <c r="A13" s="31"/>
      <c r="B13" s="32"/>
      <c r="C13" s="32"/>
      <c r="D13" s="32"/>
      <c r="E13" s="32"/>
      <c r="F13" s="28"/>
      <c r="G13" s="28"/>
      <c r="H13" s="29"/>
    </row>
    <row r="14" spans="1:8" x14ac:dyDescent="0.2">
      <c r="A14" s="31"/>
      <c r="B14" s="32"/>
      <c r="C14" s="32"/>
      <c r="D14" s="32"/>
      <c r="E14" s="32"/>
      <c r="F14" s="28"/>
      <c r="G14" s="28"/>
      <c r="H14" s="29"/>
    </row>
    <row r="15" spans="1:8" x14ac:dyDescent="0.2">
      <c r="A15" s="31"/>
      <c r="B15" s="32"/>
      <c r="C15" s="32"/>
      <c r="D15" s="32"/>
      <c r="E15" s="32"/>
      <c r="F15" s="28"/>
      <c r="G15" s="28"/>
      <c r="H15" s="29"/>
    </row>
    <row r="16" spans="1:8" x14ac:dyDescent="0.2">
      <c r="A16" s="31"/>
      <c r="B16" s="32"/>
      <c r="C16" s="32"/>
      <c r="D16" s="32"/>
      <c r="E16" s="32"/>
      <c r="F16" s="28"/>
      <c r="G16" s="28"/>
      <c r="H16" s="29"/>
    </row>
    <row r="17" spans="1:8" x14ac:dyDescent="0.2">
      <c r="A17" s="31"/>
      <c r="B17" s="32"/>
      <c r="C17" s="32"/>
      <c r="D17" s="32"/>
      <c r="E17" s="32"/>
      <c r="F17" s="28"/>
      <c r="G17" s="28"/>
      <c r="H17" s="29"/>
    </row>
    <row r="18" spans="1:8" x14ac:dyDescent="0.2">
      <c r="A18" s="31"/>
      <c r="B18" s="32"/>
      <c r="C18" s="32"/>
      <c r="D18" s="32"/>
      <c r="E18" s="32"/>
      <c r="F18" s="28"/>
      <c r="G18" s="28"/>
      <c r="H18" s="29"/>
    </row>
    <row r="19" spans="1:8" x14ac:dyDescent="0.2">
      <c r="A19" s="31"/>
      <c r="B19" s="32"/>
      <c r="C19" s="32"/>
      <c r="D19" s="32"/>
      <c r="E19" s="32"/>
      <c r="F19" s="28"/>
      <c r="G19" s="28"/>
      <c r="H19" s="29"/>
    </row>
    <row r="20" spans="1:8" x14ac:dyDescent="0.2">
      <c r="A20" s="31"/>
      <c r="B20" s="32"/>
      <c r="C20" s="32"/>
      <c r="D20" s="32"/>
      <c r="E20" s="32"/>
      <c r="F20" s="28"/>
      <c r="G20" s="28"/>
      <c r="H20" s="29"/>
    </row>
    <row r="21" spans="1:8" x14ac:dyDescent="0.2">
      <c r="A21" s="31"/>
      <c r="B21" s="32"/>
      <c r="C21" s="32"/>
      <c r="D21" s="32"/>
      <c r="E21" s="32"/>
      <c r="F21" s="28"/>
      <c r="G21" s="28"/>
      <c r="H21" s="29"/>
    </row>
    <row r="22" spans="1:8" x14ac:dyDescent="0.2">
      <c r="A22" s="31"/>
      <c r="B22" s="32"/>
      <c r="C22" s="32"/>
      <c r="D22" s="32"/>
      <c r="E22" s="32"/>
      <c r="F22" s="28"/>
      <c r="G22" s="28"/>
      <c r="H22" s="29"/>
    </row>
    <row r="23" spans="1:8" x14ac:dyDescent="0.2">
      <c r="A23" s="31"/>
      <c r="B23" s="32"/>
      <c r="C23" s="32"/>
      <c r="D23" s="32"/>
      <c r="E23" s="32"/>
      <c r="F23" s="28"/>
      <c r="G23" s="28"/>
      <c r="H23" s="29"/>
    </row>
    <row r="24" spans="1:8" x14ac:dyDescent="0.2">
      <c r="A24" s="31"/>
      <c r="B24" s="32"/>
      <c r="C24" s="32"/>
      <c r="D24" s="32"/>
      <c r="E24" s="32"/>
      <c r="F24" s="28"/>
      <c r="G24" s="28"/>
      <c r="H24" s="29"/>
    </row>
    <row r="25" spans="1:8" x14ac:dyDescent="0.2">
      <c r="A25" s="31"/>
      <c r="B25" s="32"/>
      <c r="C25" s="32"/>
      <c r="D25" s="32"/>
      <c r="E25" s="32"/>
      <c r="F25" s="28"/>
      <c r="G25" s="28"/>
      <c r="H25" s="29"/>
    </row>
    <row r="26" spans="1:8" x14ac:dyDescent="0.2">
      <c r="A26" s="31"/>
      <c r="B26" s="32"/>
      <c r="C26" s="32"/>
      <c r="D26" s="32"/>
      <c r="E26" s="32"/>
      <c r="F26" s="28"/>
      <c r="G26" s="28"/>
      <c r="H26" s="29"/>
    </row>
    <row r="27" spans="1:8" x14ac:dyDescent="0.2">
      <c r="A27" s="31"/>
      <c r="B27" s="32"/>
      <c r="C27" s="32"/>
      <c r="D27" s="32"/>
      <c r="E27" s="32"/>
      <c r="F27" s="28"/>
      <c r="G27" s="28"/>
      <c r="H27" s="29"/>
    </row>
    <row r="28" spans="1:8" x14ac:dyDescent="0.2">
      <c r="A28" s="31"/>
      <c r="B28" s="32"/>
      <c r="C28" s="32"/>
      <c r="D28" s="32"/>
      <c r="E28" s="32"/>
      <c r="F28" s="28"/>
      <c r="G28" s="28"/>
      <c r="H28" s="29"/>
    </row>
    <row r="29" spans="1:8" x14ac:dyDescent="0.2">
      <c r="A29" s="31"/>
      <c r="B29" s="32"/>
      <c r="C29" s="32"/>
      <c r="D29" s="32"/>
      <c r="E29" s="32"/>
      <c r="F29" s="28"/>
      <c r="G29" s="28"/>
      <c r="H29" s="29"/>
    </row>
    <row r="30" spans="1:8" x14ac:dyDescent="0.2">
      <c r="A30" s="31"/>
      <c r="B30" s="32"/>
      <c r="C30" s="32"/>
      <c r="D30" s="32"/>
      <c r="E30" s="32"/>
      <c r="F30" s="28"/>
      <c r="G30" s="28"/>
      <c r="H30" s="29"/>
    </row>
    <row r="33" spans="2:7" x14ac:dyDescent="0.2">
      <c r="B33" s="13"/>
      <c r="C33" s="13"/>
      <c r="D33" s="13"/>
      <c r="E33" s="13"/>
    </row>
    <row r="34" spans="2:7" x14ac:dyDescent="0.2">
      <c r="B34" s="2"/>
      <c r="C34" s="2"/>
      <c r="D34" s="2"/>
      <c r="E34" s="2"/>
      <c r="F34" t="s">
        <v>33</v>
      </c>
      <c r="G34" s="2">
        <f>H8-C2</f>
        <v>0</v>
      </c>
    </row>
    <row r="35" spans="2:7" x14ac:dyDescent="0.2">
      <c r="D35" s="27"/>
    </row>
    <row r="36" spans="2:7" x14ac:dyDescent="0.2">
      <c r="D36" s="27"/>
      <c r="F36" t="s">
        <v>34</v>
      </c>
      <c r="G36" s="26">
        <v>0.01</v>
      </c>
    </row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sqref="A1:B30"/>
    </sheetView>
  </sheetViews>
  <sheetFormatPr defaultRowHeight="12.75" x14ac:dyDescent="0.2"/>
  <cols>
    <col min="1" max="1" width="10.140625" bestFit="1" customWidth="1"/>
    <col min="2" max="2" width="14.5703125" bestFit="1" customWidth="1"/>
  </cols>
  <sheetData>
    <row r="1" spans="1:3" x14ac:dyDescent="0.2">
      <c r="A1" s="7" t="s">
        <v>13</v>
      </c>
      <c r="B1" s="7" t="s">
        <v>0</v>
      </c>
      <c r="C1" t="s">
        <v>14</v>
      </c>
    </row>
    <row r="2" spans="1:3" x14ac:dyDescent="0.2">
      <c r="A2" s="8">
        <v>40130</v>
      </c>
      <c r="B2" s="1">
        <v>-10183896.199999999</v>
      </c>
      <c r="C2" s="9">
        <f>XIRR(B2:B30,A2:A30)</f>
        <v>0.15812421441078192</v>
      </c>
    </row>
    <row r="3" spans="1:3" x14ac:dyDescent="0.2">
      <c r="A3" s="8">
        <v>40222</v>
      </c>
      <c r="B3" s="1">
        <v>361411.258975</v>
      </c>
    </row>
    <row r="4" spans="1:3" x14ac:dyDescent="0.2">
      <c r="A4" s="8">
        <v>40311</v>
      </c>
      <c r="B4" s="1">
        <v>361411.258975</v>
      </c>
    </row>
    <row r="5" spans="1:3" x14ac:dyDescent="0.2">
      <c r="A5" s="8">
        <v>40403</v>
      </c>
      <c r="B5" s="1">
        <v>361411.258975</v>
      </c>
    </row>
    <row r="6" spans="1:3" x14ac:dyDescent="0.2">
      <c r="A6" s="8">
        <v>40495</v>
      </c>
      <c r="B6" s="1">
        <v>361411.258975</v>
      </c>
    </row>
    <row r="7" spans="1:3" x14ac:dyDescent="0.2">
      <c r="A7" s="8">
        <v>40587</v>
      </c>
      <c r="B7" s="1">
        <v>361411.258975</v>
      </c>
    </row>
    <row r="8" spans="1:3" x14ac:dyDescent="0.2">
      <c r="A8" s="8">
        <v>40676</v>
      </c>
      <c r="B8" s="1">
        <v>361411.258975</v>
      </c>
    </row>
    <row r="9" spans="1:3" x14ac:dyDescent="0.2">
      <c r="A9" s="8">
        <v>40768</v>
      </c>
      <c r="B9" s="1">
        <v>361411.258975</v>
      </c>
    </row>
    <row r="10" spans="1:3" x14ac:dyDescent="0.2">
      <c r="A10" s="8">
        <v>40860</v>
      </c>
      <c r="B10" s="1">
        <v>361411.258975</v>
      </c>
    </row>
    <row r="11" spans="1:3" x14ac:dyDescent="0.2">
      <c r="A11" s="8">
        <v>40952</v>
      </c>
      <c r="B11" s="1">
        <v>361411.258975</v>
      </c>
    </row>
    <row r="12" spans="1:3" x14ac:dyDescent="0.2">
      <c r="A12" s="8">
        <v>41042</v>
      </c>
      <c r="B12" s="1">
        <v>361411.258975</v>
      </c>
    </row>
    <row r="13" spans="1:3" x14ac:dyDescent="0.2">
      <c r="A13" s="8">
        <v>41134</v>
      </c>
      <c r="B13" s="1">
        <v>361411.258975</v>
      </c>
    </row>
    <row r="14" spans="1:3" x14ac:dyDescent="0.2">
      <c r="A14" s="8">
        <v>41226</v>
      </c>
      <c r="B14" s="1">
        <v>361411.258975</v>
      </c>
    </row>
    <row r="15" spans="1:3" x14ac:dyDescent="0.2">
      <c r="A15" s="8">
        <v>41318</v>
      </c>
      <c r="B15" s="1">
        <v>361411.258975</v>
      </c>
    </row>
    <row r="16" spans="1:3" x14ac:dyDescent="0.2">
      <c r="A16" s="8">
        <v>41407</v>
      </c>
      <c r="B16" s="1">
        <v>361411.258975</v>
      </c>
    </row>
    <row r="17" spans="1:2" x14ac:dyDescent="0.2">
      <c r="A17" s="8">
        <v>41499</v>
      </c>
      <c r="B17" s="1">
        <v>361411.258975</v>
      </c>
    </row>
    <row r="18" spans="1:2" x14ac:dyDescent="0.2">
      <c r="A18" s="8">
        <v>41591</v>
      </c>
      <c r="B18" s="1">
        <v>361411.258975</v>
      </c>
    </row>
    <row r="19" spans="1:2" x14ac:dyDescent="0.2">
      <c r="A19" s="8">
        <v>41683</v>
      </c>
      <c r="B19" s="1">
        <v>361411.258975</v>
      </c>
    </row>
    <row r="20" spans="1:2" x14ac:dyDescent="0.2">
      <c r="A20" s="8">
        <v>41772</v>
      </c>
      <c r="B20" s="1">
        <v>361411.258975</v>
      </c>
    </row>
    <row r="21" spans="1:2" x14ac:dyDescent="0.2">
      <c r="A21" s="8">
        <v>41864</v>
      </c>
      <c r="B21" s="1">
        <v>361411.258975</v>
      </c>
    </row>
    <row r="22" spans="1:2" x14ac:dyDescent="0.2">
      <c r="A22" s="8">
        <v>41956</v>
      </c>
      <c r="B22" s="1">
        <v>361411.258975</v>
      </c>
    </row>
    <row r="23" spans="1:2" x14ac:dyDescent="0.2">
      <c r="A23" s="8">
        <v>42048</v>
      </c>
      <c r="B23" s="1">
        <v>361411.258975</v>
      </c>
    </row>
    <row r="24" spans="1:2" x14ac:dyDescent="0.2">
      <c r="A24" s="8">
        <v>42137</v>
      </c>
      <c r="B24" s="1">
        <v>361411.258975</v>
      </c>
    </row>
    <row r="25" spans="1:2" x14ac:dyDescent="0.2">
      <c r="A25" s="8">
        <v>42229</v>
      </c>
      <c r="B25" s="1">
        <v>361411.258975</v>
      </c>
    </row>
    <row r="26" spans="1:2" x14ac:dyDescent="0.2">
      <c r="A26" s="8">
        <v>42321</v>
      </c>
      <c r="B26" s="1">
        <v>361411.258975</v>
      </c>
    </row>
    <row r="27" spans="1:2" x14ac:dyDescent="0.2">
      <c r="A27" s="8">
        <v>42413</v>
      </c>
      <c r="B27" s="1">
        <v>361411.258975</v>
      </c>
    </row>
    <row r="28" spans="1:2" x14ac:dyDescent="0.2">
      <c r="A28" s="8">
        <v>42503</v>
      </c>
      <c r="B28" s="1">
        <v>361411.258975</v>
      </c>
    </row>
    <row r="29" spans="1:2" x14ac:dyDescent="0.2">
      <c r="A29" s="8">
        <v>42595</v>
      </c>
      <c r="B29" s="1">
        <v>361411.258975</v>
      </c>
    </row>
    <row r="30" spans="1:2" x14ac:dyDescent="0.2">
      <c r="A30" s="8">
        <v>42687</v>
      </c>
      <c r="B30" s="1">
        <v>11481757.688975001</v>
      </c>
    </row>
  </sheetData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2"/>
  <sheetViews>
    <sheetView workbookViewId="0">
      <selection sqref="A1:B30"/>
    </sheetView>
  </sheetViews>
  <sheetFormatPr defaultRowHeight="12.75" x14ac:dyDescent="0.2"/>
  <cols>
    <col min="1" max="1" width="10.140625" bestFit="1" customWidth="1"/>
    <col min="2" max="2" width="14.5703125" bestFit="1" customWidth="1"/>
    <col min="3" max="3" width="14.5703125" customWidth="1"/>
    <col min="4" max="4" width="14" bestFit="1" customWidth="1"/>
    <col min="5" max="5" width="19.85546875" bestFit="1" customWidth="1"/>
    <col min="6" max="6" width="15.28515625" customWidth="1"/>
    <col min="7" max="7" width="12.85546875" bestFit="1" customWidth="1"/>
    <col min="10" max="10" width="10.140625" bestFit="1" customWidth="1"/>
    <col min="11" max="11" width="14.5703125" bestFit="1" customWidth="1"/>
    <col min="12" max="12" width="14.5703125" customWidth="1"/>
    <col min="13" max="13" width="14" bestFit="1" customWidth="1"/>
    <col min="14" max="14" width="19.85546875" bestFit="1" customWidth="1"/>
    <col min="15" max="15" width="15.28515625" customWidth="1"/>
  </cols>
  <sheetData>
    <row r="1" spans="1:15" x14ac:dyDescent="0.2">
      <c r="A1" s="3" t="s">
        <v>28</v>
      </c>
      <c r="E1">
        <v>0.15821961619647662</v>
      </c>
      <c r="J1" s="3" t="s">
        <v>28</v>
      </c>
      <c r="N1">
        <v>0.1496141923890319</v>
      </c>
    </row>
    <row r="2" spans="1:15" x14ac:dyDescent="0.2">
      <c r="A2" s="7" t="s">
        <v>13</v>
      </c>
      <c r="B2" s="7" t="s">
        <v>0</v>
      </c>
      <c r="C2" s="19" t="s">
        <v>15</v>
      </c>
      <c r="D2" s="19" t="s">
        <v>25</v>
      </c>
      <c r="E2" s="19" t="s">
        <v>26</v>
      </c>
      <c r="F2" s="19" t="s">
        <v>27</v>
      </c>
      <c r="J2" s="7" t="s">
        <v>13</v>
      </c>
      <c r="K2" s="7" t="s">
        <v>0</v>
      </c>
      <c r="L2" s="19" t="s">
        <v>15</v>
      </c>
      <c r="M2" s="19" t="s">
        <v>25</v>
      </c>
      <c r="N2" s="19" t="s">
        <v>26</v>
      </c>
      <c r="O2" s="19" t="s">
        <v>27</v>
      </c>
    </row>
    <row r="3" spans="1:15" x14ac:dyDescent="0.2">
      <c r="A3" s="8">
        <v>40130</v>
      </c>
      <c r="B3" s="1">
        <v>-10183896.199999999</v>
      </c>
      <c r="C3" s="2">
        <v>11120346.430000002</v>
      </c>
      <c r="D3" s="1">
        <v>10183896.199999999</v>
      </c>
      <c r="E3">
        <f>+E1</f>
        <v>0.15821961619647662</v>
      </c>
      <c r="J3" s="8">
        <v>40130</v>
      </c>
      <c r="K3" s="1">
        <v>-10183896.199999999</v>
      </c>
      <c r="L3" s="2">
        <v>11120346.430000002</v>
      </c>
      <c r="M3" s="1">
        <v>10183896.199999999</v>
      </c>
      <c r="N3">
        <f>+N1</f>
        <v>0.1496141923890319</v>
      </c>
    </row>
    <row r="4" spans="1:15" x14ac:dyDescent="0.2">
      <c r="A4" s="8">
        <v>40222</v>
      </c>
      <c r="B4" s="1">
        <v>361411.258975</v>
      </c>
      <c r="C4" s="1"/>
      <c r="D4" s="1">
        <f t="shared" ref="D4:D31" si="0">+D3+F4</f>
        <v>10225307.978062188</v>
      </c>
      <c r="F4" s="2">
        <f>(0.25*$E$3*D3)-B4</f>
        <v>41411.778062189114</v>
      </c>
      <c r="G4" s="2"/>
      <c r="J4" s="8">
        <v>40222</v>
      </c>
      <c r="K4" s="1">
        <v>361411.258975</v>
      </c>
      <c r="L4" s="1"/>
      <c r="M4" s="1">
        <f t="shared" ref="M4:M31" si="1">+M3+O4</f>
        <v>10203398.792359183</v>
      </c>
      <c r="O4" s="2">
        <f>(0.25*$N$3*M3)-K4</f>
        <v>19502.592359182658</v>
      </c>
    </row>
    <row r="5" spans="1:15" x14ac:dyDescent="0.2">
      <c r="A5" s="8">
        <v>40311</v>
      </c>
      <c r="B5" s="1">
        <v>361411.258975</v>
      </c>
      <c r="C5" s="1"/>
      <c r="D5" s="1">
        <f t="shared" si="0"/>
        <v>10268357.795032131</v>
      </c>
      <c r="F5" s="2">
        <f>(0.25*$E$3*D4)-B5</f>
        <v>43049.816969942418</v>
      </c>
      <c r="J5" s="8">
        <v>40311</v>
      </c>
      <c r="K5" s="1">
        <v>361411.258975</v>
      </c>
      <c r="L5" s="1"/>
      <c r="M5" s="1">
        <f t="shared" si="1"/>
        <v>10223630.850869693</v>
      </c>
      <c r="O5" s="2">
        <f t="shared" ref="O5:O31" si="2">(0.25*$N$3*M4)-K5</f>
        <v>20232.0585105106</v>
      </c>
    </row>
    <row r="6" spans="1:15" x14ac:dyDescent="0.2">
      <c r="A6" s="8">
        <v>40403</v>
      </c>
      <c r="B6" s="1">
        <v>361411.258975</v>
      </c>
      <c r="C6" s="1"/>
      <c r="D6" s="1">
        <f t="shared" si="0"/>
        <v>10313110.44338165</v>
      </c>
      <c r="F6" s="2">
        <f t="shared" ref="F6:F31" si="3">(0.25*$E$3*D5)-B6</f>
        <v>44752.648349520634</v>
      </c>
      <c r="J6" s="8">
        <v>40403</v>
      </c>
      <c r="K6" s="1">
        <v>361411.258975</v>
      </c>
      <c r="L6" s="1"/>
      <c r="M6" s="1">
        <f t="shared" si="1"/>
        <v>10244619.660153808</v>
      </c>
      <c r="O6" s="2">
        <f t="shared" si="2"/>
        <v>20988.809284115036</v>
      </c>
    </row>
    <row r="7" spans="1:15" x14ac:dyDescent="0.2">
      <c r="A7" s="8">
        <v>40495</v>
      </c>
      <c r="B7" s="1">
        <v>361411.258975</v>
      </c>
      <c r="C7" s="1"/>
      <c r="D7" s="1">
        <f t="shared" si="0"/>
        <v>10359633.27844258</v>
      </c>
      <c r="F7" s="2">
        <f t="shared" si="3"/>
        <v>46522.83506092988</v>
      </c>
      <c r="J7" s="8">
        <v>40495</v>
      </c>
      <c r="K7" s="1">
        <v>361411.258975</v>
      </c>
      <c r="L7" s="1"/>
      <c r="M7" s="1">
        <f t="shared" si="1"/>
        <v>10266393.525375485</v>
      </c>
      <c r="O7" s="2">
        <f t="shared" si="2"/>
        <v>21773.865221677581</v>
      </c>
    </row>
    <row r="8" spans="1:15" x14ac:dyDescent="0.2">
      <c r="A8" s="8">
        <v>40587</v>
      </c>
      <c r="B8" s="1">
        <v>361411.258975</v>
      </c>
      <c r="C8" s="1"/>
      <c r="D8" s="1">
        <f t="shared" si="0"/>
        <v>10407996.319780439</v>
      </c>
      <c r="F8" s="2">
        <f t="shared" si="3"/>
        <v>48363.041337857954</v>
      </c>
      <c r="J8" s="8">
        <v>40587</v>
      </c>
      <c r="K8" s="1">
        <v>361411.258975</v>
      </c>
      <c r="L8" s="1"/>
      <c r="M8" s="1">
        <f t="shared" si="1"/>
        <v>10288981.810412245</v>
      </c>
      <c r="O8" s="2">
        <f t="shared" si="2"/>
        <v>22588.2850367598</v>
      </c>
    </row>
    <row r="9" spans="1:15" x14ac:dyDescent="0.2">
      <c r="A9" s="8">
        <v>40676</v>
      </c>
      <c r="B9" s="1">
        <v>361411.258975</v>
      </c>
      <c r="C9" s="1"/>
      <c r="D9" s="1">
        <f t="shared" si="0"/>
        <v>10458272.35657794</v>
      </c>
      <c r="F9" s="2">
        <f t="shared" si="3"/>
        <v>50276.036797500565</v>
      </c>
      <c r="J9" s="8">
        <v>40676</v>
      </c>
      <c r="K9" s="1">
        <v>361411.258975</v>
      </c>
      <c r="L9" s="1"/>
      <c r="M9" s="1">
        <f t="shared" si="1"/>
        <v>10312414.977454811</v>
      </c>
      <c r="O9" s="2">
        <f t="shared" si="2"/>
        <v>23433.167042566813</v>
      </c>
    </row>
    <row r="10" spans="1:15" x14ac:dyDescent="0.2">
      <c r="A10" s="8">
        <v>40768</v>
      </c>
      <c r="B10" s="1">
        <v>361411.258975</v>
      </c>
      <c r="C10" s="1"/>
      <c r="D10" s="1">
        <f t="shared" si="0"/>
        <v>10510537.057186935</v>
      </c>
      <c r="F10" s="2">
        <f t="shared" si="3"/>
        <v>52264.700608995685</v>
      </c>
      <c r="J10" s="8">
        <v>40768</v>
      </c>
      <c r="K10" s="1">
        <v>361411.258975</v>
      </c>
      <c r="L10" s="1"/>
      <c r="M10" s="1">
        <f t="shared" si="1"/>
        <v>10336724.628087927</v>
      </c>
      <c r="O10" s="2">
        <f t="shared" si="2"/>
        <v>24309.650633114565</v>
      </c>
    </row>
    <row r="11" spans="1:15" x14ac:dyDescent="0.2">
      <c r="A11" s="8">
        <v>40860</v>
      </c>
      <c r="B11" s="1">
        <v>361411.258975</v>
      </c>
      <c r="C11" s="1"/>
      <c r="D11" s="1">
        <f t="shared" si="0"/>
        <v>10564869.083013676</v>
      </c>
      <c r="F11" s="2">
        <f t="shared" si="3"/>
        <v>54332.025826740428</v>
      </c>
      <c r="J11" s="8">
        <v>40860</v>
      </c>
      <c r="K11" s="1">
        <v>361411.258975</v>
      </c>
      <c r="L11" s="1"/>
      <c r="M11" s="1">
        <f t="shared" si="1"/>
        <v>10361943.545907725</v>
      </c>
      <c r="O11" s="2">
        <f t="shared" si="2"/>
        <v>25218.917819797818</v>
      </c>
    </row>
    <row r="12" spans="1:15" x14ac:dyDescent="0.2">
      <c r="A12" s="8">
        <v>40952</v>
      </c>
      <c r="B12" s="1">
        <v>361411.258975</v>
      </c>
      <c r="C12" s="1"/>
      <c r="D12" s="1">
        <f t="shared" si="0"/>
        <v>10621350.206908787</v>
      </c>
      <c r="F12" s="2">
        <f t="shared" si="3"/>
        <v>56481.123895111436</v>
      </c>
      <c r="J12" s="8">
        <v>40952</v>
      </c>
      <c r="K12" s="1">
        <v>361411.258975</v>
      </c>
      <c r="L12" s="1"/>
      <c r="M12" s="1">
        <f t="shared" si="1"/>
        <v>10388105.740733156</v>
      </c>
      <c r="O12" s="2">
        <f t="shared" si="2"/>
        <v>26162.19482543139</v>
      </c>
    </row>
    <row r="13" spans="1:15" x14ac:dyDescent="0.2">
      <c r="A13" s="8">
        <v>41042</v>
      </c>
      <c r="B13" s="1">
        <v>361411.258975</v>
      </c>
      <c r="C13" s="1"/>
      <c r="D13" s="1">
        <f t="shared" si="0"/>
        <v>10680065.436240155</v>
      </c>
      <c r="F13" s="2">
        <f t="shared" si="3"/>
        <v>58715.22933136893</v>
      </c>
      <c r="J13" s="8">
        <v>41042</v>
      </c>
      <c r="K13" s="1">
        <v>361411.258975</v>
      </c>
      <c r="L13" s="1"/>
      <c r="M13" s="1">
        <f t="shared" si="1"/>
        <v>10415246.494471069</v>
      </c>
      <c r="O13" s="2">
        <f t="shared" si="2"/>
        <v>27140.75373791426</v>
      </c>
    </row>
    <row r="14" spans="1:15" x14ac:dyDescent="0.2">
      <c r="A14" s="8">
        <v>41134</v>
      </c>
      <c r="B14" s="1">
        <v>361411.258975</v>
      </c>
      <c r="C14" s="1"/>
      <c r="D14" s="1">
        <f t="shared" si="0"/>
        <v>10741103.140833948</v>
      </c>
      <c r="F14" s="2">
        <f t="shared" si="3"/>
        <v>61037.704593793256</v>
      </c>
      <c r="J14" s="8">
        <v>41134</v>
      </c>
      <c r="K14" s="1">
        <v>361411.258975</v>
      </c>
      <c r="L14" s="1"/>
      <c r="M14" s="1">
        <f t="shared" si="1"/>
        <v>10443402.408696815</v>
      </c>
      <c r="O14" s="2">
        <f t="shared" si="2"/>
        <v>28155.914225746179</v>
      </c>
    </row>
    <row r="15" spans="1:15" x14ac:dyDescent="0.2">
      <c r="A15" s="8">
        <v>41226</v>
      </c>
      <c r="B15" s="1">
        <v>361411.258975</v>
      </c>
      <c r="C15" s="1"/>
      <c r="D15" s="1">
        <f t="shared" si="0"/>
        <v>10804555.185976326</v>
      </c>
      <c r="F15" s="2">
        <f t="shared" si="3"/>
        <v>63452.045142379182</v>
      </c>
      <c r="J15" s="8">
        <v>41226</v>
      </c>
      <c r="K15" s="1">
        <v>361411.258975</v>
      </c>
      <c r="L15" s="1"/>
      <c r="M15" s="1">
        <f t="shared" si="1"/>
        <v>10472611.454014527</v>
      </c>
      <c r="O15" s="2">
        <f t="shared" si="2"/>
        <v>29209.045317711134</v>
      </c>
    </row>
    <row r="16" spans="1:15" x14ac:dyDescent="0.2">
      <c r="A16" s="8">
        <v>41318</v>
      </c>
      <c r="B16" s="1">
        <v>361411.258975</v>
      </c>
      <c r="C16" s="1"/>
      <c r="D16" s="1">
        <f t="shared" si="0"/>
        <v>10870517.070676032</v>
      </c>
      <c r="F16" s="2">
        <f t="shared" si="3"/>
        <v>65961.884699706337</v>
      </c>
      <c r="J16" s="8">
        <v>41318</v>
      </c>
      <c r="K16" s="1">
        <v>361411.258975</v>
      </c>
      <c r="L16" s="1"/>
      <c r="M16" s="1">
        <f t="shared" si="1"/>
        <v>10502913.021263653</v>
      </c>
      <c r="O16" s="2">
        <f t="shared" si="2"/>
        <v>30301.56724912714</v>
      </c>
    </row>
    <row r="17" spans="1:15" x14ac:dyDescent="0.2">
      <c r="A17" s="8">
        <v>41407</v>
      </c>
      <c r="B17" s="1">
        <v>361411.258975</v>
      </c>
      <c r="C17" s="1"/>
      <c r="D17" s="1">
        <f t="shared" si="0"/>
        <v>10939088.071395935</v>
      </c>
      <c r="F17" s="2">
        <f t="shared" si="3"/>
        <v>68571.00071990228</v>
      </c>
      <c r="J17" s="8">
        <v>41407</v>
      </c>
      <c r="K17" s="1">
        <v>361411.258975</v>
      </c>
      <c r="L17" s="1"/>
      <c r="M17" s="1">
        <f t="shared" si="1"/>
        <v>10534347.974640805</v>
      </c>
      <c r="O17" s="2">
        <f t="shared" si="2"/>
        <v>31434.953377152095</v>
      </c>
    </row>
    <row r="18" spans="1:15" x14ac:dyDescent="0.2">
      <c r="A18" s="8">
        <v>41499</v>
      </c>
      <c r="B18" s="1">
        <v>361411.258975</v>
      </c>
      <c r="C18" s="1"/>
      <c r="D18" s="1">
        <f t="shared" si="0"/>
        <v>11010371.391469866</v>
      </c>
      <c r="F18" s="2">
        <f t="shared" si="3"/>
        <v>71283.320073930139</v>
      </c>
      <c r="J18" s="8">
        <v>41499</v>
      </c>
      <c r="K18" s="1">
        <v>361411.258975</v>
      </c>
      <c r="L18" s="1"/>
      <c r="M18" s="22">
        <f t="shared" si="1"/>
        <v>10566958.706808535</v>
      </c>
      <c r="O18" s="2">
        <f t="shared" si="2"/>
        <v>32610.732167729468</v>
      </c>
    </row>
    <row r="19" spans="1:15" x14ac:dyDescent="0.2">
      <c r="A19" s="8">
        <v>41591</v>
      </c>
      <c r="B19" s="1">
        <v>361411.258975</v>
      </c>
      <c r="C19" s="1"/>
      <c r="D19" s="1">
        <f t="shared" si="0"/>
        <v>11084474.316429622</v>
      </c>
      <c r="F19" s="2">
        <f t="shared" si="3"/>
        <v>74102.924959757132</v>
      </c>
      <c r="J19" s="8">
        <v>41591</v>
      </c>
      <c r="K19" s="1">
        <v>361411.258975</v>
      </c>
      <c r="L19" s="1"/>
      <c r="M19" s="22">
        <f t="shared" si="1"/>
        <v>10600789.196065387</v>
      </c>
      <c r="O19" s="2">
        <f t="shared" si="2"/>
        <v>33830.489256851957</v>
      </c>
    </row>
    <row r="20" spans="1:15" x14ac:dyDescent="0.2">
      <c r="A20" s="8">
        <v>41683</v>
      </c>
      <c r="B20" s="1">
        <v>361411.258975</v>
      </c>
      <c r="C20" s="1"/>
      <c r="D20" s="20">
        <f t="shared" si="0"/>
        <v>11161508.375475923</v>
      </c>
      <c r="F20" s="2">
        <f t="shared" si="3"/>
        <v>77034.059046299371</v>
      </c>
      <c r="G20" s="3" t="s">
        <v>29</v>
      </c>
      <c r="J20" s="8">
        <v>41683</v>
      </c>
      <c r="K20" s="1">
        <v>361411.258975</v>
      </c>
      <c r="L20" s="1"/>
      <c r="M20" s="22">
        <f t="shared" si="1"/>
        <v>10635885.065654311</v>
      </c>
      <c r="O20" s="2">
        <f t="shared" si="2"/>
        <v>35095.869588924397</v>
      </c>
    </row>
    <row r="21" spans="1:15" x14ac:dyDescent="0.2">
      <c r="A21" s="8">
        <v>41772</v>
      </c>
      <c r="B21" s="1">
        <v>361411.258975</v>
      </c>
      <c r="C21" s="1"/>
      <c r="D21" s="1">
        <f t="shared" si="0"/>
        <v>11241589.509336313</v>
      </c>
      <c r="F21" s="2">
        <f t="shared" si="3"/>
        <v>80081.133860389935</v>
      </c>
      <c r="J21" s="8">
        <v>41772</v>
      </c>
      <c r="K21" s="1">
        <v>361411.258975</v>
      </c>
      <c r="L21" s="1"/>
      <c r="M21" s="22">
        <f t="shared" si="1"/>
        <v>10672293.645289421</v>
      </c>
      <c r="O21" s="2">
        <f t="shared" si="2"/>
        <v>36408.579635108821</v>
      </c>
    </row>
    <row r="22" spans="1:15" x14ac:dyDescent="0.2">
      <c r="A22" s="8">
        <v>41864</v>
      </c>
      <c r="B22" s="1">
        <v>361411.258975</v>
      </c>
      <c r="C22" s="1"/>
      <c r="D22" s="1">
        <f t="shared" si="0"/>
        <v>11324838.244762696</v>
      </c>
      <c r="F22" s="2">
        <f t="shared" si="3"/>
        <v>83248.735426382336</v>
      </c>
      <c r="J22" s="8">
        <v>41864</v>
      </c>
      <c r="K22" s="1">
        <v>361411.258975</v>
      </c>
      <c r="L22" s="1"/>
      <c r="M22" s="22">
        <f t="shared" si="1"/>
        <v>10710064.034984065</v>
      </c>
      <c r="O22" s="2">
        <f t="shared" si="2"/>
        <v>37770.389694643498</v>
      </c>
    </row>
    <row r="23" spans="1:15" x14ac:dyDescent="0.2">
      <c r="A23" s="8">
        <v>41956</v>
      </c>
      <c r="B23" s="1">
        <v>361411.258975</v>
      </c>
      <c r="C23" s="1"/>
      <c r="D23" s="1">
        <f t="shared" si="0"/>
        <v>11411379.87593108</v>
      </c>
      <c r="F23" s="2">
        <f t="shared" si="3"/>
        <v>86541.631168383465</v>
      </c>
      <c r="J23" s="8">
        <v>41956</v>
      </c>
      <c r="K23" s="1">
        <v>361411.258975</v>
      </c>
      <c r="L23" s="1"/>
      <c r="M23" s="22">
        <f t="shared" si="1"/>
        <v>10749247.171266304</v>
      </c>
      <c r="O23" s="2">
        <f t="shared" si="2"/>
        <v>39183.136282239284</v>
      </c>
    </row>
    <row r="24" spans="1:15" x14ac:dyDescent="0.2">
      <c r="A24" s="8">
        <v>42048</v>
      </c>
      <c r="B24" s="1">
        <v>361411.258975</v>
      </c>
      <c r="C24" s="1"/>
      <c r="D24" s="1">
        <f t="shared" si="0"/>
        <v>11501344.653016584</v>
      </c>
      <c r="F24" s="2">
        <f t="shared" si="3"/>
        <v>89964.777085503156</v>
      </c>
      <c r="J24" s="8">
        <v>42048</v>
      </c>
      <c r="K24" s="1">
        <v>361411.258975</v>
      </c>
      <c r="L24" s="1"/>
      <c r="M24" s="22">
        <f t="shared" si="1"/>
        <v>10789895.895871079</v>
      </c>
      <c r="O24" s="2">
        <f t="shared" si="2"/>
        <v>40648.724604773452</v>
      </c>
    </row>
    <row r="25" spans="1:15" x14ac:dyDescent="0.2">
      <c r="A25" s="8">
        <v>42137</v>
      </c>
      <c r="B25" s="1">
        <v>361411.258975</v>
      </c>
      <c r="C25" s="1"/>
      <c r="D25" s="1">
        <f t="shared" si="0"/>
        <v>11594867.978227505</v>
      </c>
      <c r="F25" s="2">
        <f t="shared" si="3"/>
        <v>93523.325210920593</v>
      </c>
      <c r="J25" s="8">
        <v>42137</v>
      </c>
      <c r="K25" s="1">
        <v>361411.258975</v>
      </c>
      <c r="L25" s="1"/>
      <c r="M25" s="22">
        <f t="shared" si="1"/>
        <v>10832065.027001699</v>
      </c>
      <c r="O25" s="2">
        <f t="shared" si="2"/>
        <v>42169.131130620313</v>
      </c>
    </row>
    <row r="26" spans="1:15" x14ac:dyDescent="0.2">
      <c r="A26" s="8">
        <v>42229</v>
      </c>
      <c r="B26" s="1">
        <v>361411.258975</v>
      </c>
      <c r="C26" s="1"/>
      <c r="D26" s="1">
        <f t="shared" si="0"/>
        <v>11692090.609593499</v>
      </c>
      <c r="F26" s="2">
        <f t="shared" si="3"/>
        <v>97222.631365993177</v>
      </c>
      <c r="J26" s="8">
        <v>42229</v>
      </c>
      <c r="K26" s="1">
        <v>361411.258975</v>
      </c>
      <c r="L26" s="1"/>
      <c r="M26" s="22">
        <f t="shared" si="1"/>
        <v>10875811.433256783</v>
      </c>
      <c r="O26" s="2">
        <f t="shared" si="2"/>
        <v>43746.406255084032</v>
      </c>
    </row>
    <row r="27" spans="1:15" x14ac:dyDescent="0.2">
      <c r="A27" s="8">
        <v>42321</v>
      </c>
      <c r="B27" s="1">
        <v>361411.258975</v>
      </c>
      <c r="C27" s="1"/>
      <c r="D27" s="1">
        <f t="shared" si="0"/>
        <v>11793158.872814577</v>
      </c>
      <c r="F27" s="2">
        <f t="shared" si="3"/>
        <v>101068.26322107797</v>
      </c>
      <c r="J27" s="8">
        <v>42321</v>
      </c>
      <c r="K27" s="1">
        <v>361411.258975</v>
      </c>
      <c r="L27" s="1"/>
      <c r="M27" s="22">
        <f t="shared" si="1"/>
        <v>10921194.110322312</v>
      </c>
      <c r="O27" s="2">
        <f t="shared" si="2"/>
        <v>45382.677065528231</v>
      </c>
    </row>
    <row r="28" spans="1:15" x14ac:dyDescent="0.2">
      <c r="A28" s="8">
        <v>42413</v>
      </c>
      <c r="B28" s="1">
        <v>361411.258975</v>
      </c>
      <c r="C28" s="1"/>
      <c r="D28" s="1">
        <f t="shared" si="0"/>
        <v>11898224.881489776</v>
      </c>
      <c r="F28" s="2">
        <f t="shared" si="3"/>
        <v>105066.00867519883</v>
      </c>
      <c r="J28" s="8">
        <v>42413</v>
      </c>
      <c r="K28" s="1">
        <v>361411.258975</v>
      </c>
      <c r="L28" s="1"/>
      <c r="M28" s="22">
        <f t="shared" si="1"/>
        <v>10968274.260532243</v>
      </c>
      <c r="O28" s="2">
        <f t="shared" si="2"/>
        <v>47080.150209931075</v>
      </c>
    </row>
    <row r="29" spans="1:15" x14ac:dyDescent="0.2">
      <c r="A29" s="8">
        <v>42503</v>
      </c>
      <c r="B29" s="1">
        <v>361411.258975</v>
      </c>
      <c r="C29" s="1"/>
      <c r="D29" s="1">
        <f t="shared" si="0"/>
        <v>12007446.766056946</v>
      </c>
      <c r="F29" s="2">
        <f t="shared" si="3"/>
        <v>109221.88456717023</v>
      </c>
      <c r="J29" s="8">
        <v>42503</v>
      </c>
      <c r="K29" s="1">
        <v>361411.258975</v>
      </c>
      <c r="L29" s="1"/>
      <c r="M29" s="22">
        <f t="shared" si="1"/>
        <v>11017115.375404978</v>
      </c>
      <c r="O29" s="2">
        <f t="shared" si="2"/>
        <v>48841.114872734412</v>
      </c>
    </row>
    <row r="30" spans="1:15" x14ac:dyDescent="0.2">
      <c r="A30" s="8">
        <v>42595</v>
      </c>
      <c r="B30" s="1">
        <v>361411.258975</v>
      </c>
      <c r="C30" s="1"/>
      <c r="D30" s="1">
        <f t="shared" si="0"/>
        <v>12120988.911788234</v>
      </c>
      <c r="F30" s="2">
        <f t="shared" si="3"/>
        <v>113542.14573128859</v>
      </c>
      <c r="J30" s="8">
        <v>42595</v>
      </c>
      <c r="K30" s="1">
        <v>361411.258975</v>
      </c>
      <c r="L30" s="1"/>
      <c r="M30" s="22">
        <f t="shared" si="1"/>
        <v>11067783.321266979</v>
      </c>
      <c r="O30" s="2">
        <f t="shared" si="2"/>
        <v>50667.945862000459</v>
      </c>
    </row>
    <row r="31" spans="1:15" x14ac:dyDescent="0.2">
      <c r="A31" s="8">
        <v>42687</v>
      </c>
      <c r="B31" s="1">
        <v>361411.258975</v>
      </c>
      <c r="C31" s="1"/>
      <c r="D31" s="6">
        <f t="shared" si="0"/>
        <v>12239022.206199456</v>
      </c>
      <c r="F31" s="2">
        <f t="shared" si="3"/>
        <v>118033.29441122082</v>
      </c>
      <c r="J31" s="8">
        <v>42687</v>
      </c>
      <c r="K31" s="1">
        <v>361411.258975</v>
      </c>
      <c r="L31" s="1"/>
      <c r="M31" s="24">
        <f t="shared" si="1"/>
        <v>11120346.428079018</v>
      </c>
      <c r="O31" s="2">
        <f t="shared" si="2"/>
        <v>52563.106812039041</v>
      </c>
    </row>
    <row r="32" spans="1:15" x14ac:dyDescent="0.2">
      <c r="F32" s="2">
        <f>SUM(F4:F31)</f>
        <v>2055126.0061994537</v>
      </c>
      <c r="M32" s="23"/>
      <c r="O32" s="2">
        <f>SUM(O4:O31)</f>
        <v>936450.22807901562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Terms </vt:lpstr>
      <vt:lpstr>Iteration 1</vt:lpstr>
      <vt:lpstr>Iteration 2</vt:lpstr>
      <vt:lpstr>Iteration 3</vt:lpstr>
      <vt:lpstr>Get Rate for Iteration 4</vt:lpstr>
      <vt:lpstr>Iteration 4 </vt:lpstr>
      <vt:lpstr>Get Rate for Iteration 5</vt:lpstr>
      <vt:lpstr>Iteration 5</vt:lpstr>
      <vt:lpstr>Get Rate for Iteration 6</vt:lpstr>
      <vt:lpstr>Iteration 6</vt:lpstr>
      <vt:lpstr>Get Rate for Iteration 7 </vt:lpstr>
      <vt:lpstr>Iteration 7 </vt:lpstr>
      <vt:lpstr>Get Rate for Iteration 8 </vt:lpstr>
      <vt:lpstr>Iteration 8 </vt:lpstr>
      <vt:lpstr>Get Rate for Iteration 9 </vt:lpstr>
      <vt:lpstr>Iteration 9 </vt:lpstr>
      <vt:lpstr>Get Rate for Iteration 10 </vt:lpstr>
      <vt:lpstr>Iteration 10 </vt:lpstr>
      <vt:lpstr>XIRR </vt:lpstr>
      <vt:lpstr>Carry Value Proof </vt:lpstr>
    </vt:vector>
  </TitlesOfParts>
  <Company>JPMorgan Chase &amp; Co.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Netzband</dc:creator>
  <cp:lastModifiedBy>Netzband, Fred</cp:lastModifiedBy>
  <dcterms:created xsi:type="dcterms:W3CDTF">2010-07-23T21:28:55Z</dcterms:created>
  <dcterms:modified xsi:type="dcterms:W3CDTF">2015-07-15T21:32:18Z</dcterms:modified>
</cp:coreProperties>
</file>