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Securities" sheetId="1" state="visible" r:id="rId3"/>
    <sheet name="Legal Entities" sheetId="2" state="visible" r:id="rId4"/>
    <sheet name="Deals" sheetId="3" state="visible" r:id="rId5"/>
  </sheets>
  <definedNames>
    <definedName function="false" hidden="true" localSheetId="0" name="_xlnm._FilterDatabase" vbProcedure="false">'All Securities'!$A$1:$O$18</definedName>
    <definedName function="false" hidden="true" localSheetId="2" name="_xlnm._FilterDatabase" vbProcedure="false">Deals!$A$1:$K$14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<sst xmlns="http://schemas.openxmlformats.org/spreadsheetml/2006/main" count="347" uniqueCount="135">
  <si>
    <t xml:space="preserve">Instrument ID</t>
  </si>
  <si>
    <t xml:space="preserve">Legal Entity</t>
  </si>
  <si>
    <t xml:space="preserve">LEID</t>
  </si>
  <si>
    <t xml:space="preserve">Deal</t>
  </si>
  <si>
    <t xml:space="preserve">Position</t>
  </si>
  <si>
    <t xml:space="preserve">Income Security</t>
  </si>
  <si>
    <t xml:space="preserve">Security ID</t>
  </si>
  <si>
    <t xml:space="preserve">Type</t>
  </si>
  <si>
    <t xml:space="preserve">CCY</t>
  </si>
  <si>
    <t xml:space="preserve">Face Value</t>
  </si>
  <si>
    <t xml:space="preserve">Commitment</t>
  </si>
  <si>
    <t xml:space="preserve">Settlement Date</t>
  </si>
  <si>
    <t xml:space="preserve">Maturity Date</t>
  </si>
  <si>
    <t xml:space="preserve">IFRS 9 Class</t>
  </si>
  <si>
    <t xml:space="preserve">Has Children?</t>
  </si>
  <si>
    <t xml:space="preserve">alliance</t>
  </si>
  <si>
    <t xml:space="preserve">FIS Capital Partners I</t>
  </si>
  <si>
    <t xml:space="preserve">Alliance Manufacturing</t>
  </si>
  <si>
    <t xml:space="preserve">FCP-I 100% holding · Alliance CN</t>
  </si>
  <si>
    <t xml:space="preserve">Alliance Manufacturing Convertible Note (12% / 14% PIK)</t>
  </si>
  <si>
    <t xml:space="preserve">SEC-ALLIANCE-2019-CN</t>
  </si>
  <si>
    <t xml:space="preserve">Loan</t>
  </si>
  <si>
    <t xml:space="preserve">GBP</t>
  </si>
  <si>
    <t xml:space="preserve">2019-01-15</t>
  </si>
  <si>
    <t xml:space="preserve">2020-03-05</t>
  </si>
  <si>
    <t xml:space="preserve">No</t>
  </si>
  <si>
    <t xml:space="preserve">discountBond</t>
  </si>
  <si>
    <t xml:space="preserve">Copperleaf Capital</t>
  </si>
  <si>
    <t xml:space="preserve">FCP-I 100% holding · Copperleaf bond</t>
  </si>
  <si>
    <t xml:space="preserve">Copperleaf 8% Senior Notes 2030 (Discount Bond)</t>
  </si>
  <si>
    <t xml:space="preserve">SEC-COPPERLEAF-2030-SRNOTE</t>
  </si>
  <si>
    <t xml:space="preserve">2024-06-01</t>
  </si>
  <si>
    <t xml:space="preserve">2030-06-01</t>
  </si>
  <si>
    <t xml:space="preserve">floatingLoan</t>
  </si>
  <si>
    <t xml:space="preserve">FIS Capital Partners II</t>
  </si>
  <si>
    <t xml:space="preserve">Orion Industrial</t>
  </si>
  <si>
    <t xml:space="preserve">FCP-II £40m Position · Orion TL-B</t>
  </si>
  <si>
    <t xml:space="preserve">Orion Industrial Term Loan B (SOFR + 575 bps)</t>
  </si>
  <si>
    <t xml:space="preserve">SEC-ORION-TLB-2024</t>
  </si>
  <si>
    <t xml:space="preserve">2024-09-15</t>
  </si>
  <si>
    <t xml:space="preserve">2031-09-15</t>
  </si>
  <si>
    <t xml:space="preserve">floatingLoanFCP1</t>
  </si>
  <si>
    <t xml:space="preserve">FCP-I £20m Position · Orion TL-B (Secondary)</t>
  </si>
  <si>
    <t xml:space="preserve">2025-03-15</t>
  </si>
  <si>
    <t xml:space="preserve">revolver</t>
  </si>
  <si>
    <t xml:space="preserve">FIS Credit Opps III</t>
  </si>
  <si>
    <t xml:space="preserve">Northwind Ventures</t>
  </si>
  <si>
    <t xml:space="preserve">FCO-III 100% holding · Northwind RCF</t>
  </si>
  <si>
    <t xml:space="preserve">Northwind Revolving Credit Facility (£50m commitment)</t>
  </si>
  <si>
    <t xml:space="preserve">SEC-NORTHWIND-RCF-2025</t>
  </si>
  <si>
    <t xml:space="preserve">2025-01-15</t>
  </si>
  <si>
    <t xml:space="preserve">2029-01-15</t>
  </si>
  <si>
    <t xml:space="preserve">privateCredit</t>
  </si>
  <si>
    <t xml:space="preserve">FIS Direct Lending Fund IV</t>
  </si>
  <si>
    <t xml:space="preserve">Meridian Healthcare Services</t>
  </si>
  <si>
    <t xml:space="preserve">DL-IV 100% holding · Meridian Unitranche</t>
  </si>
  <si>
    <t xml:space="preserve">Meridian Unitranche Term Loan (SOFR + 600, 1% OID, 2% PIK)</t>
  </si>
  <si>
    <t xml:space="preserve">SEC-MERIDIAN-UNITRANCHE-2025</t>
  </si>
  <si>
    <t xml:space="preserve">2031-03-15</t>
  </si>
  <si>
    <t xml:space="preserve">libra2</t>
  </si>
  <si>
    <t xml:space="preserve">NWF Sustainable Infrastructure</t>
  </si>
  <si>
    <t xml:space="preserve">Libra 2</t>
  </si>
  <si>
    <t xml:space="preserve">NWF 100% Bilateral Position · Libra 2</t>
  </si>
  <si>
    <t xml:space="preserve">HSBC Facility B4 — Libra 2 (Compounded SONIA + Ratcheted Margin)</t>
  </si>
  <si>
    <t xml:space="preserve">SEC-LIBRA2-HSBC-FACB4</t>
  </si>
  <si>
    <t xml:space="preserve">2024-10-08</t>
  </si>
  <si>
    <t xml:space="preserve">2031-10-10</t>
  </si>
  <si>
    <t xml:space="preserve">AmortisedCost</t>
  </si>
  <si>
    <t xml:space="preserve">libra3</t>
  </si>
  <si>
    <t xml:space="preserve">Libra 3</t>
  </si>
  <si>
    <t xml:space="preserve">NWF 100% Bilateral Position · Libra 3 (with CFH)</t>
  </si>
  <si>
    <t xml:space="preserve">HSBC Facility B4 — Libra 3 (Compounded SONIA + Ratcheted Margin · CFH IRS)</t>
  </si>
  <si>
    <t xml:space="preserve">SEC-LIBRA3-HSBC-FACB4-CFH</t>
  </si>
  <si>
    <t xml:space="preserve">voltGuarantee</t>
  </si>
  <si>
    <t xml:space="preserve">Volt</t>
  </si>
  <si>
    <t xml:space="preserve">NWF Guarantor Position · Volt covered tranche</t>
  </si>
  <si>
    <t xml:space="preserve">Volt Financial Guarantee on £1bn BoA Loan (£800m covered)</t>
  </si>
  <si>
    <t xml:space="preserve">SEC-VOLT-GP017-FINGUAR</t>
  </si>
  <si>
    <t xml:space="preserve">2025-12-18</t>
  </si>
  <si>
    <t xml:space="preserve">2037-12-17</t>
  </si>
  <si>
    <t xml:space="preserve">xyzBuyoutFund</t>
  </si>
  <si>
    <t xml:space="preserve">NWF Renewable Equity</t>
  </si>
  <si>
    <t xml:space="preserve">XYZ Buyout Fund (GBP)</t>
  </si>
  <si>
    <t xml:space="preserve">NWFE LP Subscription · £50m commitment</t>
  </si>
  <si>
    <t xml:space="preserve">XYZ Buyout Fund (GBP) — Limited Partnership Interest</t>
  </si>
  <si>
    <t xml:space="preserve">SEC-XYZ-BUYOUT-LPINT</t>
  </si>
  <si>
    <t xml:space="preserve">2026-01-15</t>
  </si>
  <si>
    <t xml:space="preserve">2038-01-15</t>
  </si>
  <si>
    <t xml:space="preserve">FVTPL</t>
  </si>
  <si>
    <t xml:space="preserve">abcdefSeriesC</t>
  </si>
  <si>
    <t xml:space="preserve">ABCDEF Software Ltd</t>
  </si>
  <si>
    <t xml:space="preserve">NWFE Series C Subscription · £100m · 9.09% post-money</t>
  </si>
  <si>
    <t xml:space="preserve">ABCDEF Software Ltd — Series C Ordinary Shares</t>
  </si>
  <si>
    <t xml:space="preserve">SEC-ABCDEF-SERIES-C-ORD</t>
  </si>
  <si>
    <t xml:space="preserve">2026-04-01</t>
  </si>
  <si>
    <t xml:space="preserve">2036-04-01</t>
  </si>
  <si>
    <t xml:space="preserve">suffolkMultiTranche</t>
  </si>
  <si>
    <t xml:space="preserve">Suffolk Solar Phase 2</t>
  </si>
  <si>
    <t xml:space="preserve">NWF 100% Bilateral Position · Suffolk Solar</t>
  </si>
  <si>
    <t xml:space="preserve">Suffolk Solar Multi-Tranche Facility (£50m Fixed + £50m SONIA)</t>
  </si>
  <si>
    <t xml:space="preserve">SEC-SUFFOLK-SOLAR-MT</t>
  </si>
  <si>
    <t xml:space="preserve">Multi-Tranche</t>
  </si>
  <si>
    <t xml:space="preserve">2033-01-15</t>
  </si>
  <si>
    <t xml:space="preserve">Yes</t>
  </si>
  <si>
    <t xml:space="preserve">suffolkMultiTranche/trancheA-fixed</t>
  </si>
  <si>
    <t xml:space="preserve">NWF 100% Bilateral Position · Suffolk Solar · trancheA-fixed</t>
  </si>
  <si>
    <t xml:space="preserve">Suffolk Solar Multi-Tranche Facility (£50m Fixed + £50m SONIA) — trancheA-fixed</t>
  </si>
  <si>
    <t xml:space="preserve">trancheA-fixed</t>
  </si>
  <si>
    <t xml:space="preserve">Tranche</t>
  </si>
  <si>
    <t xml:space="preserve">suffolkMultiTranche/trancheB-floating</t>
  </si>
  <si>
    <t xml:space="preserve">NWF 100% Bilateral Position · Suffolk Solar · trancheB-floating</t>
  </si>
  <si>
    <t xml:space="preserve">Suffolk Solar Multi-Tranche Facility (£50m Fixed + £50m SONIA) — trancheB-floating</t>
  </si>
  <si>
    <t xml:space="preserve">trancheB-floating</t>
  </si>
  <si>
    <t xml:space="preserve">voltMultiLoan</t>
  </si>
  <si>
    <t xml:space="preserve">Volt — Multi-Loan Guarantee</t>
  </si>
  <si>
    <t xml:space="preserve">NWF Guarantor Position · Volt multi-loan covered</t>
  </si>
  <si>
    <t xml:space="preserve">Volt Multi-Loan Financial Guarantee (£600m covered, 2 underlyings)</t>
  </si>
  <si>
    <t xml:space="preserve">SEC-VOLT-GP022-MULTILOAN</t>
  </si>
  <si>
    <t xml:space="preserve">Guarantee</t>
  </si>
  <si>
    <t xml:space="preserve">2036-01-15</t>
  </si>
  <si>
    <t xml:space="preserve">voltMultiLoan/underlying1-sonia</t>
  </si>
  <si>
    <t xml:space="preserve">NWF Guarantor Position · Volt multi-loan covered · underlying1-sonia</t>
  </si>
  <si>
    <t xml:space="preserve">Volt Multi-Loan Financial Guarantee (£600m covered, 2 underlyings) — underlying1-sonia</t>
  </si>
  <si>
    <t xml:space="preserve">underlying1-sonia</t>
  </si>
  <si>
    <t xml:space="preserve">Underlying Loan</t>
  </si>
  <si>
    <t xml:space="preserve">voltMultiLoan/underlying2-fixed</t>
  </si>
  <si>
    <t xml:space="preserve">NWF Guarantor Position · Volt multi-loan covered · underlying2-fixed</t>
  </si>
  <si>
    <t xml:space="preserve">Volt Multi-Loan Financial Guarantee (£600m covered, 2 underlyings) — underlying2-fixed</t>
  </si>
  <si>
    <t xml:space="preserve">underlying2-fixed</t>
  </si>
  <si>
    <t xml:space="preserve">Deal Count</t>
  </si>
  <si>
    <t xml:space="preserve">Position Count</t>
  </si>
  <si>
    <t xml:space="preserve">Total Commitment (GBP)</t>
  </si>
  <si>
    <t xml:space="preserve">Total</t>
  </si>
  <si>
    <t xml:space="preserve">Settlement</t>
  </si>
  <si>
    <t xml:space="preserve">Maturity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</si>
</sst>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\£#,##0;&quot;(£&quot;#,##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E7F0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7F0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7F0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46"/>
    <col collapsed="false" customWidth="true" hidden="false" outlineLevel="0" max="6" min="6" style="0" width="62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6"/>
    <col collapsed="false" customWidth="true" hidden="false" outlineLevel="0" max="11" min="10" style="0" width="14"/>
    <col collapsed="false" customWidth="true" hidden="false" outlineLevel="0" max="13" min="12" style="0" width="12"/>
    <col collapsed="false" customWidth="true" hidden="false" outlineLevel="0" max="14" min="14" style="0" width="16"/>
    <col collapsed="false" customWidth="true" hidden="false" outlineLevel="0" max="15" min="15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n">
        <v>7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n">
        <v>25000000</v>
      </c>
      <c r="K2" s="3" t="n">
        <v>25000000</v>
      </c>
      <c r="L2" s="4" t="s">
        <v>23</v>
      </c>
      <c r="M2" s="4" t="s">
        <v>24</v>
      </c>
      <c r="N2" s="2"/>
      <c r="O2" s="2" t="s">
        <v>25</v>
      </c>
    </row>
    <row r="3" customFormat="false" ht="15" hidden="false" customHeight="false" outlineLevel="0" collapsed="false">
      <c r="A3" s="2" t="s">
        <v>26</v>
      </c>
      <c r="B3" s="2" t="s">
        <v>16</v>
      </c>
      <c r="C3" s="2" t="n">
        <v>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21</v>
      </c>
      <c r="I3" s="2" t="s">
        <v>22</v>
      </c>
      <c r="J3" s="3" t="n">
        <v>10000000</v>
      </c>
      <c r="K3" s="3" t="n">
        <v>10000000</v>
      </c>
      <c r="L3" s="4" t="s">
        <v>31</v>
      </c>
      <c r="M3" s="4" t="s">
        <v>32</v>
      </c>
      <c r="N3" s="2"/>
      <c r="O3" s="2" t="s">
        <v>25</v>
      </c>
    </row>
    <row r="4" customFormat="false" ht="15" hidden="false" customHeight="false" outlineLevel="0" collapsed="false">
      <c r="A4" s="2" t="s">
        <v>33</v>
      </c>
      <c r="B4" s="2" t="s">
        <v>34</v>
      </c>
      <c r="C4" s="2" t="n">
        <v>11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21</v>
      </c>
      <c r="I4" s="2" t="s">
        <v>22</v>
      </c>
      <c r="J4" s="3" t="n">
        <v>40000000</v>
      </c>
      <c r="K4" s="3" t="n">
        <v>40000000</v>
      </c>
      <c r="L4" s="4" t="s">
        <v>39</v>
      </c>
      <c r="M4" s="4" t="s">
        <v>40</v>
      </c>
      <c r="N4" s="2"/>
      <c r="O4" s="2" t="s">
        <v>25</v>
      </c>
    </row>
    <row r="5" customFormat="false" ht="15" hidden="false" customHeight="false" outlineLevel="0" collapsed="false">
      <c r="A5" s="2" t="s">
        <v>41</v>
      </c>
      <c r="B5" s="2" t="s">
        <v>16</v>
      </c>
      <c r="C5" s="2" t="n">
        <v>7</v>
      </c>
      <c r="D5" s="2" t="s">
        <v>35</v>
      </c>
      <c r="E5" s="2" t="s">
        <v>42</v>
      </c>
      <c r="F5" s="2" t="s">
        <v>37</v>
      </c>
      <c r="G5" s="2" t="s">
        <v>38</v>
      </c>
      <c r="H5" s="2" t="s">
        <v>21</v>
      </c>
      <c r="I5" s="2" t="s">
        <v>22</v>
      </c>
      <c r="J5" s="3" t="n">
        <v>20000000</v>
      </c>
      <c r="K5" s="3" t="n">
        <v>20000000</v>
      </c>
      <c r="L5" s="4" t="s">
        <v>43</v>
      </c>
      <c r="M5" s="4" t="s">
        <v>40</v>
      </c>
      <c r="N5" s="2"/>
      <c r="O5" s="2" t="s">
        <v>25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 t="n">
        <v>22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21</v>
      </c>
      <c r="I6" s="2" t="s">
        <v>22</v>
      </c>
      <c r="J6" s="3" t="n">
        <v>15000000</v>
      </c>
      <c r="K6" s="3" t="n">
        <v>50000000</v>
      </c>
      <c r="L6" s="4" t="s">
        <v>50</v>
      </c>
      <c r="M6" s="4" t="s">
        <v>51</v>
      </c>
      <c r="N6" s="2"/>
      <c r="O6" s="2" t="s">
        <v>25</v>
      </c>
    </row>
    <row r="7" customFormat="false" ht="15" hidden="false" customHeight="false" outlineLevel="0" collapsed="false">
      <c r="A7" s="2" t="s">
        <v>52</v>
      </c>
      <c r="B7" s="2" t="s">
        <v>53</v>
      </c>
      <c r="C7" s="2" t="n">
        <v>31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21</v>
      </c>
      <c r="I7" s="2" t="s">
        <v>22</v>
      </c>
      <c r="J7" s="3" t="n">
        <v>35000000</v>
      </c>
      <c r="K7" s="3" t="n">
        <v>35000000</v>
      </c>
      <c r="L7" s="4" t="s">
        <v>43</v>
      </c>
      <c r="M7" s="4" t="s">
        <v>58</v>
      </c>
      <c r="N7" s="2"/>
      <c r="O7" s="2" t="s">
        <v>25</v>
      </c>
    </row>
    <row r="8" customFormat="false" ht="15" hidden="false" customHeight="false" outlineLevel="0" collapsed="false">
      <c r="A8" s="2" t="s">
        <v>59</v>
      </c>
      <c r="B8" s="2" t="s">
        <v>60</v>
      </c>
      <c r="C8" s="2" t="n">
        <v>42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21</v>
      </c>
      <c r="I8" s="2" t="s">
        <v>22</v>
      </c>
      <c r="J8" s="3" t="n">
        <v>25000000</v>
      </c>
      <c r="K8" s="3" t="n">
        <v>25000000</v>
      </c>
      <c r="L8" s="4" t="s">
        <v>65</v>
      </c>
      <c r="M8" s="4" t="s">
        <v>66</v>
      </c>
      <c r="N8" s="2" t="s">
        <v>67</v>
      </c>
      <c r="O8" s="2" t="s">
        <v>25</v>
      </c>
    </row>
    <row r="9" customFormat="false" ht="15" hidden="false" customHeight="false" outlineLevel="0" collapsed="false">
      <c r="A9" s="2" t="s">
        <v>68</v>
      </c>
      <c r="B9" s="2" t="s">
        <v>60</v>
      </c>
      <c r="C9" s="2" t="n">
        <v>42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21</v>
      </c>
      <c r="I9" s="2" t="s">
        <v>22</v>
      </c>
      <c r="J9" s="3" t="n">
        <v>25000000</v>
      </c>
      <c r="K9" s="3" t="n">
        <v>25000000</v>
      </c>
      <c r="L9" s="4" t="s">
        <v>65</v>
      </c>
      <c r="M9" s="4" t="s">
        <v>66</v>
      </c>
      <c r="N9" s="2" t="s">
        <v>67</v>
      </c>
      <c r="O9" s="2" t="s">
        <v>25</v>
      </c>
    </row>
    <row r="10" customFormat="false" ht="15" hidden="false" customHeight="false" outlineLevel="0" collapsed="false">
      <c r="A10" s="2" t="s">
        <v>73</v>
      </c>
      <c r="B10" s="2" t="s">
        <v>60</v>
      </c>
      <c r="C10" s="2" t="n">
        <v>42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21</v>
      </c>
      <c r="I10" s="2" t="s">
        <v>22</v>
      </c>
      <c r="J10" s="3" t="n">
        <v>1000000000</v>
      </c>
      <c r="K10" s="3" t="n">
        <v>1000000000</v>
      </c>
      <c r="L10" s="4" t="s">
        <v>78</v>
      </c>
      <c r="M10" s="4" t="s">
        <v>79</v>
      </c>
      <c r="N10" s="2" t="s">
        <v>67</v>
      </c>
      <c r="O10" s="2" t="s">
        <v>25</v>
      </c>
    </row>
    <row r="11" customFormat="false" ht="15" hidden="false" customHeight="false" outlineLevel="0" collapsed="false">
      <c r="A11" s="2" t="s">
        <v>80</v>
      </c>
      <c r="B11" s="2" t="s">
        <v>81</v>
      </c>
      <c r="C11" s="2" t="n">
        <v>51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21</v>
      </c>
      <c r="I11" s="2" t="s">
        <v>22</v>
      </c>
      <c r="J11" s="3" t="n">
        <v>50000000</v>
      </c>
      <c r="K11" s="3" t="n">
        <v>50000000</v>
      </c>
      <c r="L11" s="4" t="s">
        <v>86</v>
      </c>
      <c r="M11" s="4" t="s">
        <v>87</v>
      </c>
      <c r="N11" s="2" t="s">
        <v>88</v>
      </c>
      <c r="O11" s="2" t="s">
        <v>25</v>
      </c>
    </row>
    <row r="12" customFormat="false" ht="15" hidden="false" customHeight="false" outlineLevel="0" collapsed="false">
      <c r="A12" s="2" t="s">
        <v>89</v>
      </c>
      <c r="B12" s="2" t="s">
        <v>81</v>
      </c>
      <c r="C12" s="2" t="n">
        <v>51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21</v>
      </c>
      <c r="I12" s="2" t="s">
        <v>22</v>
      </c>
      <c r="J12" s="3" t="n">
        <v>100000000</v>
      </c>
      <c r="K12" s="3" t="n">
        <v>100000000</v>
      </c>
      <c r="L12" s="4" t="s">
        <v>94</v>
      </c>
      <c r="M12" s="4" t="s">
        <v>95</v>
      </c>
      <c r="N12" s="2" t="s">
        <v>88</v>
      </c>
      <c r="O12" s="2" t="s">
        <v>25</v>
      </c>
    </row>
    <row r="13" customFormat="false" ht="15" hidden="false" customHeight="false" outlineLevel="0" collapsed="false">
      <c r="A13" s="5" t="s">
        <v>96</v>
      </c>
      <c r="B13" s="5" t="s">
        <v>60</v>
      </c>
      <c r="C13" s="5" t="n">
        <v>42</v>
      </c>
      <c r="D13" s="5" t="s">
        <v>97</v>
      </c>
      <c r="E13" s="5" t="s">
        <v>98</v>
      </c>
      <c r="F13" s="5" t="s">
        <v>99</v>
      </c>
      <c r="G13" s="5" t="s">
        <v>100</v>
      </c>
      <c r="H13" s="5" t="s">
        <v>101</v>
      </c>
      <c r="I13" s="5" t="s">
        <v>22</v>
      </c>
      <c r="J13" s="6" t="n">
        <v>100000000</v>
      </c>
      <c r="K13" s="6" t="n">
        <v>100000000</v>
      </c>
      <c r="L13" s="7" t="s">
        <v>86</v>
      </c>
      <c r="M13" s="7" t="s">
        <v>102</v>
      </c>
      <c r="N13" s="5" t="s">
        <v>67</v>
      </c>
      <c r="O13" s="5" t="s">
        <v>103</v>
      </c>
    </row>
    <row r="14" customFormat="false" ht="20.85" hidden="false" customHeight="false" outlineLevel="0" collapsed="false">
      <c r="A14" s="8" t="s">
        <v>104</v>
      </c>
      <c r="B14" s="2" t="s">
        <v>60</v>
      </c>
      <c r="C14" s="2" t="n">
        <v>42</v>
      </c>
      <c r="D14" s="2" t="s">
        <v>97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22</v>
      </c>
      <c r="J14" s="3" t="n">
        <v>50000000</v>
      </c>
      <c r="K14" s="3" t="n">
        <v>50000000</v>
      </c>
      <c r="L14" s="4" t="s">
        <v>86</v>
      </c>
      <c r="M14" s="4" t="s">
        <v>102</v>
      </c>
      <c r="N14" s="2" t="s">
        <v>67</v>
      </c>
      <c r="O14" s="2" t="s">
        <v>25</v>
      </c>
    </row>
    <row r="15" customFormat="false" ht="20.85" hidden="false" customHeight="false" outlineLevel="0" collapsed="false">
      <c r="A15" s="8" t="s">
        <v>109</v>
      </c>
      <c r="B15" s="2" t="s">
        <v>60</v>
      </c>
      <c r="C15" s="2" t="n">
        <v>42</v>
      </c>
      <c r="D15" s="2" t="s">
        <v>97</v>
      </c>
      <c r="E15" s="2" t="s">
        <v>110</v>
      </c>
      <c r="F15" s="2" t="s">
        <v>111</v>
      </c>
      <c r="G15" s="2" t="s">
        <v>112</v>
      </c>
      <c r="H15" s="2" t="s">
        <v>108</v>
      </c>
      <c r="I15" s="2" t="s">
        <v>22</v>
      </c>
      <c r="J15" s="3" t="n">
        <v>50000000</v>
      </c>
      <c r="K15" s="3" t="n">
        <v>50000000</v>
      </c>
      <c r="L15" s="4" t="s">
        <v>86</v>
      </c>
      <c r="M15" s="4" t="s">
        <v>102</v>
      </c>
      <c r="N15" s="2" t="s">
        <v>67</v>
      </c>
      <c r="O15" s="2" t="s">
        <v>25</v>
      </c>
    </row>
    <row r="16" customFormat="false" ht="15" hidden="false" customHeight="false" outlineLevel="0" collapsed="false">
      <c r="A16" s="5" t="s">
        <v>113</v>
      </c>
      <c r="B16" s="5" t="s">
        <v>60</v>
      </c>
      <c r="C16" s="5" t="n">
        <v>42</v>
      </c>
      <c r="D16" s="5" t="s">
        <v>114</v>
      </c>
      <c r="E16" s="5" t="s">
        <v>115</v>
      </c>
      <c r="F16" s="5" t="s">
        <v>116</v>
      </c>
      <c r="G16" s="5" t="s">
        <v>117</v>
      </c>
      <c r="H16" s="5" t="s">
        <v>118</v>
      </c>
      <c r="I16" s="5" t="s">
        <v>22</v>
      </c>
      <c r="J16" s="6" t="n">
        <v>750000000</v>
      </c>
      <c r="K16" s="6" t="n">
        <v>750000000</v>
      </c>
      <c r="L16" s="7" t="s">
        <v>86</v>
      </c>
      <c r="M16" s="7" t="s">
        <v>119</v>
      </c>
      <c r="N16" s="5" t="s">
        <v>67</v>
      </c>
      <c r="O16" s="5" t="s">
        <v>103</v>
      </c>
    </row>
    <row r="17" customFormat="false" ht="20.85" hidden="false" customHeight="false" outlineLevel="0" collapsed="false">
      <c r="A17" s="8" t="s">
        <v>120</v>
      </c>
      <c r="B17" s="2" t="s">
        <v>60</v>
      </c>
      <c r="C17" s="2" t="n">
        <v>42</v>
      </c>
      <c r="D17" s="2" t="s">
        <v>114</v>
      </c>
      <c r="E17" s="2" t="s">
        <v>121</v>
      </c>
      <c r="F17" s="2" t="s">
        <v>122</v>
      </c>
      <c r="G17" s="2" t="s">
        <v>123</v>
      </c>
      <c r="H17" s="2" t="s">
        <v>124</v>
      </c>
      <c r="I17" s="2" t="s">
        <v>22</v>
      </c>
      <c r="J17" s="3" t="n">
        <v>400000000</v>
      </c>
      <c r="K17" s="3" t="n">
        <v>400000000</v>
      </c>
      <c r="L17" s="4" t="s">
        <v>86</v>
      </c>
      <c r="M17" s="4" t="s">
        <v>119</v>
      </c>
      <c r="N17" s="2" t="s">
        <v>67</v>
      </c>
      <c r="O17" s="2" t="s">
        <v>25</v>
      </c>
    </row>
    <row r="18" customFormat="false" ht="20.85" hidden="false" customHeight="false" outlineLevel="0" collapsed="false">
      <c r="A18" s="8" t="s">
        <v>125</v>
      </c>
      <c r="B18" s="2" t="s">
        <v>60</v>
      </c>
      <c r="C18" s="2" t="n">
        <v>42</v>
      </c>
      <c r="D18" s="2" t="s">
        <v>114</v>
      </c>
      <c r="E18" s="2" t="s">
        <v>126</v>
      </c>
      <c r="F18" s="2" t="s">
        <v>127</v>
      </c>
      <c r="G18" s="2" t="s">
        <v>128</v>
      </c>
      <c r="H18" s="2" t="s">
        <v>124</v>
      </c>
      <c r="I18" s="2" t="s">
        <v>22</v>
      </c>
      <c r="J18" s="3" t="n">
        <v>200000000</v>
      </c>
      <c r="K18" s="3" t="n">
        <v>200000000</v>
      </c>
      <c r="L18" s="4" t="s">
        <v>86</v>
      </c>
      <c r="M18" s="4" t="s">
        <v>119</v>
      </c>
      <c r="N18" s="2" t="s">
        <v>67</v>
      </c>
      <c r="O18" s="2" t="s">
        <v>25</v>
      </c>
    </row>
  </sheetData>
  <autoFilter ref="A1:O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1.5" hidden="false" customHeight="true" outlineLevel="0" collapsed="false">
      <c r="A1" s="1" t="s">
        <v>1</v>
      </c>
      <c r="B1" s="1" t="s">
        <v>2</v>
      </c>
      <c r="C1" s="1" t="s">
        <v>129</v>
      </c>
      <c r="D1" s="1" t="s">
        <v>130</v>
      </c>
      <c r="E1" s="1" t="s">
        <v>131</v>
      </c>
    </row>
    <row r="2" customFormat="false" ht="15" hidden="false" customHeight="false" outlineLevel="0" collapsed="false">
      <c r="A2" s="9" t="s">
        <v>16</v>
      </c>
      <c r="B2" s="10" t="n">
        <v>7</v>
      </c>
      <c r="C2" s="11" t="n">
        <f aca="false">SUMPRODUCT(('All Securities'!$B$2:$B$18=A2)*(ISNUMBER(SEARCH("/",'All Securities'!$A$2:$A$18))=FALSE())*1)</f>
        <v>3</v>
      </c>
      <c r="D2" s="11" t="n">
        <f aca="false">COUNTIF('All Securities'!$B$2:$B$18,A2)</f>
        <v>3</v>
      </c>
      <c r="E2" s="12" t="n">
        <f aca="false">SUMPRODUCT(('All Securities'!$B$2:$B$18=A2)*(ISNUMBER(SEARCH("/",'All Securities'!$A$2:$A$18))=FALSE())*IFERROR('All Securities'!$K$2:$K$18,0))</f>
        <v>55000000</v>
      </c>
    </row>
    <row r="3" customFormat="false" ht="15" hidden="false" customHeight="false" outlineLevel="0" collapsed="false">
      <c r="A3" s="9" t="s">
        <v>34</v>
      </c>
      <c r="B3" s="10" t="n">
        <v>11</v>
      </c>
      <c r="C3" s="11" t="n">
        <f aca="false">SUMPRODUCT(('All Securities'!$B$2:$B$18=A3)*(ISNUMBER(SEARCH("/",'All Securities'!$A$2:$A$18))=FALSE())*1)</f>
        <v>1</v>
      </c>
      <c r="D3" s="11" t="n">
        <f aca="false">COUNTIF('All Securities'!$B$2:$B$18,A3)</f>
        <v>1</v>
      </c>
      <c r="E3" s="12" t="n">
        <f aca="false">SUMPRODUCT(('All Securities'!$B$2:$B$18=A3)*(ISNUMBER(SEARCH("/",'All Securities'!$A$2:$A$18))=FALSE())*IFERROR('All Securities'!$K$2:$K$18,0))</f>
        <v>40000000</v>
      </c>
    </row>
    <row r="4" customFormat="false" ht="15" hidden="false" customHeight="false" outlineLevel="0" collapsed="false">
      <c r="A4" s="9" t="s">
        <v>45</v>
      </c>
      <c r="B4" s="10" t="n">
        <v>22</v>
      </c>
      <c r="C4" s="11" t="n">
        <f aca="false">SUMPRODUCT(('All Securities'!$B$2:$B$18=A4)*(ISNUMBER(SEARCH("/",'All Securities'!$A$2:$A$18))=FALSE())*1)</f>
        <v>1</v>
      </c>
      <c r="D4" s="11" t="n">
        <f aca="false">COUNTIF('All Securities'!$B$2:$B$18,A4)</f>
        <v>1</v>
      </c>
      <c r="E4" s="12" t="n">
        <f aca="false">SUMPRODUCT(('All Securities'!$B$2:$B$18=A4)*(ISNUMBER(SEARCH("/",'All Securities'!$A$2:$A$18))=FALSE())*IFERROR('All Securities'!$K$2:$K$18,0))</f>
        <v>50000000</v>
      </c>
    </row>
    <row r="5" customFormat="false" ht="15" hidden="false" customHeight="false" outlineLevel="0" collapsed="false">
      <c r="A5" s="9" t="s">
        <v>53</v>
      </c>
      <c r="B5" s="10" t="n">
        <v>31</v>
      </c>
      <c r="C5" s="11" t="n">
        <f aca="false">SUMPRODUCT(('All Securities'!$B$2:$B$18=A5)*(ISNUMBER(SEARCH("/",'All Securities'!$A$2:$A$18))=FALSE())*1)</f>
        <v>1</v>
      </c>
      <c r="D5" s="11" t="n">
        <f aca="false">COUNTIF('All Securities'!$B$2:$B$18,A5)</f>
        <v>1</v>
      </c>
      <c r="E5" s="12" t="n">
        <f aca="false">SUMPRODUCT(('All Securities'!$B$2:$B$18=A5)*(ISNUMBER(SEARCH("/",'All Securities'!$A$2:$A$18))=FALSE())*IFERROR('All Securities'!$K$2:$K$18,0))</f>
        <v>35000000</v>
      </c>
    </row>
    <row r="6" customFormat="false" ht="15" hidden="false" customHeight="false" outlineLevel="0" collapsed="false">
      <c r="A6" s="9" t="s">
        <v>81</v>
      </c>
      <c r="B6" s="10" t="n">
        <v>51</v>
      </c>
      <c r="C6" s="11" t="n">
        <f aca="false">SUMPRODUCT(('All Securities'!$B$2:$B$18=A6)*(ISNUMBER(SEARCH("/",'All Securities'!$A$2:$A$18))=FALSE())*1)</f>
        <v>2</v>
      </c>
      <c r="D6" s="11" t="n">
        <f aca="false">COUNTIF('All Securities'!$B$2:$B$18,A6)</f>
        <v>2</v>
      </c>
      <c r="E6" s="12" t="n">
        <f aca="false">SUMPRODUCT(('All Securities'!$B$2:$B$18=A6)*(ISNUMBER(SEARCH("/",'All Securities'!$A$2:$A$18))=FALSE())*IFERROR('All Securities'!$K$2:$K$18,0))</f>
        <v>150000000</v>
      </c>
    </row>
    <row r="7" customFormat="false" ht="15" hidden="false" customHeight="false" outlineLevel="0" collapsed="false">
      <c r="A7" s="9" t="s">
        <v>60</v>
      </c>
      <c r="B7" s="10" t="n">
        <v>42</v>
      </c>
      <c r="C7" s="11" t="n">
        <f aca="false">SUMPRODUCT(('All Securities'!$B$2:$B$18=A7)*(ISNUMBER(SEARCH("/",'All Securities'!$A$2:$A$18))=FALSE())*1)</f>
        <v>5</v>
      </c>
      <c r="D7" s="11" t="n">
        <f aca="false">COUNTIF('All Securities'!$B$2:$B$18,A7)</f>
        <v>9</v>
      </c>
      <c r="E7" s="12" t="n">
        <f aca="false">SUMPRODUCT(('All Securities'!$B$2:$B$18=A7)*(ISNUMBER(SEARCH("/",'All Securities'!$A$2:$A$18))=FALSE())*IFERROR('All Securities'!$K$2:$K$18,0))</f>
        <v>1900000000</v>
      </c>
    </row>
    <row r="8" customFormat="false" ht="15" hidden="false" customHeight="false" outlineLevel="0" collapsed="false">
      <c r="A8" s="13" t="s">
        <v>132</v>
      </c>
      <c r="B8" s="10"/>
      <c r="C8" s="14" t="n">
        <f aca="false">SUM(C2:C7)</f>
        <v>13</v>
      </c>
      <c r="D8" s="14" t="n">
        <f aca="false">SUM(D2:D7)</f>
        <v>17</v>
      </c>
      <c r="E8" s="15" t="n">
        <f aca="false">SUM(E2:E7)</f>
        <v>2230000000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4" min="3" style="0" width="6"/>
    <col collapsed="false" customWidth="true" hidden="false" outlineLevel="0" max="6" min="5" style="0" width="12"/>
    <col collapsed="false" customWidth="true" hidden="false" outlineLevel="0" max="9" min="7" style="0" width="16"/>
    <col collapsed="false" customWidth="true" hidden="false" outlineLevel="0" max="10" min="10" style="0" width="46"/>
    <col collapsed="false" customWidth="true" hidden="false" outlineLevel="0" max="11" min="11" style="0" width="62"/>
  </cols>
  <sheetData>
    <row r="1" customFormat="false" ht="31.5" hidden="false" customHeight="true" outlineLevel="0" collapsed="false">
      <c r="A1" s="1" t="s">
        <v>3</v>
      </c>
      <c r="B1" s="1" t="s">
        <v>1</v>
      </c>
      <c r="C1" s="1" t="s">
        <v>2</v>
      </c>
      <c r="D1" s="1" t="s">
        <v>8</v>
      </c>
      <c r="E1" s="1" t="s">
        <v>133</v>
      </c>
      <c r="F1" s="1" t="s">
        <v>134</v>
      </c>
      <c r="G1" s="1" t="s">
        <v>10</v>
      </c>
      <c r="H1" s="1" t="s">
        <v>7</v>
      </c>
      <c r="I1" s="1" t="s">
        <v>13</v>
      </c>
      <c r="J1" s="1" t="s">
        <v>4</v>
      </c>
      <c r="K1" s="1" t="s">
        <v>5</v>
      </c>
    </row>
    <row r="2" customFormat="false" ht="15" hidden="false" customHeight="false" outlineLevel="0" collapsed="false">
      <c r="A2" s="16" t="s">
        <v>17</v>
      </c>
      <c r="B2" s="16" t="s">
        <v>16</v>
      </c>
      <c r="C2" s="17" t="n">
        <v>7</v>
      </c>
      <c r="D2" s="17" t="s">
        <v>22</v>
      </c>
      <c r="E2" s="17" t="s">
        <v>23</v>
      </c>
      <c r="F2" s="17" t="s">
        <v>24</v>
      </c>
      <c r="G2" s="18" t="n">
        <v>25000000</v>
      </c>
      <c r="H2" s="17" t="s">
        <v>21</v>
      </c>
      <c r="I2" s="17"/>
      <c r="J2" s="16" t="s">
        <v>18</v>
      </c>
      <c r="K2" s="16" t="s">
        <v>19</v>
      </c>
    </row>
    <row r="3" customFormat="false" ht="15" hidden="false" customHeight="false" outlineLevel="0" collapsed="false">
      <c r="A3" s="16" t="s">
        <v>27</v>
      </c>
      <c r="B3" s="16" t="s">
        <v>16</v>
      </c>
      <c r="C3" s="17" t="n">
        <v>7</v>
      </c>
      <c r="D3" s="17" t="s">
        <v>22</v>
      </c>
      <c r="E3" s="17" t="s">
        <v>31</v>
      </c>
      <c r="F3" s="17" t="s">
        <v>32</v>
      </c>
      <c r="G3" s="18" t="n">
        <v>10000000</v>
      </c>
      <c r="H3" s="17" t="s">
        <v>21</v>
      </c>
      <c r="I3" s="17"/>
      <c r="J3" s="16" t="s">
        <v>28</v>
      </c>
      <c r="K3" s="16" t="s">
        <v>29</v>
      </c>
    </row>
    <row r="4" customFormat="false" ht="15" hidden="false" customHeight="false" outlineLevel="0" collapsed="false">
      <c r="A4" s="16" t="s">
        <v>35</v>
      </c>
      <c r="B4" s="16" t="s">
        <v>34</v>
      </c>
      <c r="C4" s="17" t="n">
        <v>11</v>
      </c>
      <c r="D4" s="17" t="s">
        <v>22</v>
      </c>
      <c r="E4" s="17" t="s">
        <v>39</v>
      </c>
      <c r="F4" s="17" t="s">
        <v>40</v>
      </c>
      <c r="G4" s="18" t="n">
        <v>40000000</v>
      </c>
      <c r="H4" s="17" t="s">
        <v>21</v>
      </c>
      <c r="I4" s="17"/>
      <c r="J4" s="16" t="s">
        <v>36</v>
      </c>
      <c r="K4" s="16" t="s">
        <v>37</v>
      </c>
    </row>
    <row r="5" customFormat="false" ht="15" hidden="false" customHeight="false" outlineLevel="0" collapsed="false">
      <c r="A5" s="16" t="s">
        <v>35</v>
      </c>
      <c r="B5" s="16" t="s">
        <v>16</v>
      </c>
      <c r="C5" s="17" t="n">
        <v>7</v>
      </c>
      <c r="D5" s="17" t="s">
        <v>22</v>
      </c>
      <c r="E5" s="17" t="s">
        <v>43</v>
      </c>
      <c r="F5" s="17" t="s">
        <v>40</v>
      </c>
      <c r="G5" s="18" t="n">
        <v>20000000</v>
      </c>
      <c r="H5" s="17" t="s">
        <v>21</v>
      </c>
      <c r="I5" s="17"/>
      <c r="J5" s="16" t="s">
        <v>42</v>
      </c>
      <c r="K5" s="16" t="s">
        <v>37</v>
      </c>
    </row>
    <row r="6" customFormat="false" ht="15" hidden="false" customHeight="false" outlineLevel="0" collapsed="false">
      <c r="A6" s="16" t="s">
        <v>46</v>
      </c>
      <c r="B6" s="16" t="s">
        <v>45</v>
      </c>
      <c r="C6" s="17" t="n">
        <v>22</v>
      </c>
      <c r="D6" s="17" t="s">
        <v>22</v>
      </c>
      <c r="E6" s="17" t="s">
        <v>50</v>
      </c>
      <c r="F6" s="17" t="s">
        <v>51</v>
      </c>
      <c r="G6" s="18" t="n">
        <v>50000000</v>
      </c>
      <c r="H6" s="17" t="s">
        <v>21</v>
      </c>
      <c r="I6" s="17"/>
      <c r="J6" s="16" t="s">
        <v>47</v>
      </c>
      <c r="K6" s="16" t="s">
        <v>48</v>
      </c>
    </row>
    <row r="7" customFormat="false" ht="15" hidden="false" customHeight="false" outlineLevel="0" collapsed="false">
      <c r="A7" s="16" t="s">
        <v>54</v>
      </c>
      <c r="B7" s="16" t="s">
        <v>53</v>
      </c>
      <c r="C7" s="17" t="n">
        <v>31</v>
      </c>
      <c r="D7" s="17" t="s">
        <v>22</v>
      </c>
      <c r="E7" s="17" t="s">
        <v>43</v>
      </c>
      <c r="F7" s="17" t="s">
        <v>58</v>
      </c>
      <c r="G7" s="18" t="n">
        <v>35000000</v>
      </c>
      <c r="H7" s="17" t="s">
        <v>21</v>
      </c>
      <c r="I7" s="17"/>
      <c r="J7" s="16" t="s">
        <v>55</v>
      </c>
      <c r="K7" s="16" t="s">
        <v>56</v>
      </c>
    </row>
    <row r="8" customFormat="false" ht="15" hidden="false" customHeight="false" outlineLevel="0" collapsed="false">
      <c r="A8" s="16" t="s">
        <v>61</v>
      </c>
      <c r="B8" s="16" t="s">
        <v>60</v>
      </c>
      <c r="C8" s="17" t="n">
        <v>42</v>
      </c>
      <c r="D8" s="17" t="s">
        <v>22</v>
      </c>
      <c r="E8" s="17" t="s">
        <v>65</v>
      </c>
      <c r="F8" s="17" t="s">
        <v>66</v>
      </c>
      <c r="G8" s="18" t="n">
        <v>25000000</v>
      </c>
      <c r="H8" s="17" t="s">
        <v>21</v>
      </c>
      <c r="I8" s="17" t="s">
        <v>67</v>
      </c>
      <c r="J8" s="16" t="s">
        <v>62</v>
      </c>
      <c r="K8" s="16" t="s">
        <v>63</v>
      </c>
    </row>
    <row r="9" customFormat="false" ht="15" hidden="false" customHeight="false" outlineLevel="0" collapsed="false">
      <c r="A9" s="16" t="s">
        <v>69</v>
      </c>
      <c r="B9" s="16" t="s">
        <v>60</v>
      </c>
      <c r="C9" s="17" t="n">
        <v>42</v>
      </c>
      <c r="D9" s="17" t="s">
        <v>22</v>
      </c>
      <c r="E9" s="17" t="s">
        <v>65</v>
      </c>
      <c r="F9" s="17" t="s">
        <v>66</v>
      </c>
      <c r="G9" s="18" t="n">
        <v>25000000</v>
      </c>
      <c r="H9" s="17" t="s">
        <v>21</v>
      </c>
      <c r="I9" s="17" t="s">
        <v>67</v>
      </c>
      <c r="J9" s="16" t="s">
        <v>70</v>
      </c>
      <c r="K9" s="16" t="s">
        <v>71</v>
      </c>
    </row>
    <row r="10" customFormat="false" ht="15" hidden="false" customHeight="false" outlineLevel="0" collapsed="false">
      <c r="A10" s="16" t="s">
        <v>74</v>
      </c>
      <c r="B10" s="16" t="s">
        <v>60</v>
      </c>
      <c r="C10" s="17" t="n">
        <v>42</v>
      </c>
      <c r="D10" s="17" t="s">
        <v>22</v>
      </c>
      <c r="E10" s="17" t="s">
        <v>78</v>
      </c>
      <c r="F10" s="17" t="s">
        <v>79</v>
      </c>
      <c r="G10" s="18" t="n">
        <v>1000000000</v>
      </c>
      <c r="H10" s="17" t="s">
        <v>21</v>
      </c>
      <c r="I10" s="17" t="s">
        <v>67</v>
      </c>
      <c r="J10" s="16" t="s">
        <v>75</v>
      </c>
      <c r="K10" s="16" t="s">
        <v>76</v>
      </c>
    </row>
    <row r="11" customFormat="false" ht="15" hidden="false" customHeight="false" outlineLevel="0" collapsed="false">
      <c r="A11" s="16" t="s">
        <v>82</v>
      </c>
      <c r="B11" s="16" t="s">
        <v>81</v>
      </c>
      <c r="C11" s="17" t="n">
        <v>51</v>
      </c>
      <c r="D11" s="17" t="s">
        <v>22</v>
      </c>
      <c r="E11" s="17" t="s">
        <v>86</v>
      </c>
      <c r="F11" s="17" t="s">
        <v>87</v>
      </c>
      <c r="G11" s="18" t="n">
        <v>50000000</v>
      </c>
      <c r="H11" s="17" t="s">
        <v>21</v>
      </c>
      <c r="I11" s="17" t="s">
        <v>88</v>
      </c>
      <c r="J11" s="16" t="s">
        <v>83</v>
      </c>
      <c r="K11" s="16" t="s">
        <v>84</v>
      </c>
    </row>
    <row r="12" customFormat="false" ht="15" hidden="false" customHeight="false" outlineLevel="0" collapsed="false">
      <c r="A12" s="16" t="s">
        <v>90</v>
      </c>
      <c r="B12" s="16" t="s">
        <v>81</v>
      </c>
      <c r="C12" s="17" t="n">
        <v>51</v>
      </c>
      <c r="D12" s="17" t="s">
        <v>22</v>
      </c>
      <c r="E12" s="17" t="s">
        <v>94</v>
      </c>
      <c r="F12" s="17" t="s">
        <v>95</v>
      </c>
      <c r="G12" s="18" t="n">
        <v>100000000</v>
      </c>
      <c r="H12" s="17" t="s">
        <v>21</v>
      </c>
      <c r="I12" s="17" t="s">
        <v>88</v>
      </c>
      <c r="J12" s="16" t="s">
        <v>91</v>
      </c>
      <c r="K12" s="16" t="s">
        <v>92</v>
      </c>
    </row>
    <row r="13" customFormat="false" ht="15" hidden="false" customHeight="false" outlineLevel="0" collapsed="false">
      <c r="A13" s="16" t="s">
        <v>97</v>
      </c>
      <c r="B13" s="16" t="s">
        <v>60</v>
      </c>
      <c r="C13" s="17" t="n">
        <v>42</v>
      </c>
      <c r="D13" s="17" t="s">
        <v>22</v>
      </c>
      <c r="E13" s="17" t="s">
        <v>86</v>
      </c>
      <c r="F13" s="17" t="s">
        <v>102</v>
      </c>
      <c r="G13" s="18" t="n">
        <v>100000000</v>
      </c>
      <c r="H13" s="17" t="s">
        <v>101</v>
      </c>
      <c r="I13" s="17" t="s">
        <v>67</v>
      </c>
      <c r="J13" s="16" t="s">
        <v>98</v>
      </c>
      <c r="K13" s="16" t="s">
        <v>99</v>
      </c>
    </row>
    <row r="14" customFormat="false" ht="15" hidden="false" customHeight="false" outlineLevel="0" collapsed="false">
      <c r="A14" s="16" t="s">
        <v>114</v>
      </c>
      <c r="B14" s="16" t="s">
        <v>60</v>
      </c>
      <c r="C14" s="17" t="n">
        <v>42</v>
      </c>
      <c r="D14" s="17" t="s">
        <v>22</v>
      </c>
      <c r="E14" s="17" t="s">
        <v>86</v>
      </c>
      <c r="F14" s="17" t="s">
        <v>119</v>
      </c>
      <c r="G14" s="18" t="n">
        <v>750000000</v>
      </c>
      <c r="H14" s="17" t="s">
        <v>118</v>
      </c>
      <c r="I14" s="17" t="s">
        <v>67</v>
      </c>
      <c r="J14" s="16" t="s">
        <v>115</v>
      </c>
      <c r="K14" s="16" t="s">
        <v>116</v>
      </c>
    </row>
  </sheetData>
  <autoFilter ref="A1:K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2026-05-08T17:22:45Z</dcterms:created>
  <dc:creator>openpyxl</dc:creator>
  <dc:description/>
  <dc:language>en-US</dc:language>
  <cp:lastModifiedBy/>
  <dcterms:modified xsi:type="dcterms:W3CDTF">2026-05-08T17:22:45Z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